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hidePivotFieldList="1"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33DA5253-F8DE-46F2-A276-68A8A023D2CC}" xr6:coauthVersionLast="47" xr6:coauthVersionMax="47" xr10:uidLastSave="{00000000-0000-0000-0000-000000000000}"/>
  <bookViews>
    <workbookView xWindow="2640" yWindow="3648" windowWidth="14724" windowHeight="9564" activeTab="1" xr2:uid="{00000000-000D-0000-FFFF-FFFF00000000}"/>
  </bookViews>
  <sheets>
    <sheet name="Sheet2" sheetId="2" r:id="rId1"/>
    <sheet name="Dashboard" sheetId="3" r:id="rId2"/>
    <sheet name="Sheet1" sheetId="1" r:id="rId3"/>
  </sheets>
  <definedNames>
    <definedName name="Slicer_Chi_Nhanh">#N/A</definedName>
    <definedName name="Slicer_Danh_Muc">#N/A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 i="1" l="1"/>
  <c r="O4" i="1"/>
  <c r="O3"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 i="1"/>
</calcChain>
</file>

<file path=xl/sharedStrings.xml><?xml version="1.0" encoding="utf-8"?>
<sst xmlns="http://schemas.openxmlformats.org/spreadsheetml/2006/main" count="1439" uniqueCount="603">
  <si>
    <t>Price</t>
  </si>
  <si>
    <t>Qty</t>
  </si>
  <si>
    <t>Date</t>
  </si>
  <si>
    <t>Chi_Nhanh</t>
  </si>
  <si>
    <t>Danh_Muc</t>
  </si>
  <si>
    <t>Ten_SP</t>
  </si>
  <si>
    <t>Long Bien</t>
  </si>
  <si>
    <t>Dong Da</t>
  </si>
  <si>
    <t>Cau Giay</t>
  </si>
  <si>
    <t>Dien thoai</t>
  </si>
  <si>
    <t>Phu kien</t>
  </si>
  <si>
    <t>May tinh bang</t>
  </si>
  <si>
    <t>Vivo V29</t>
  </si>
  <si>
    <t>Op lung Samsung</t>
  </si>
  <si>
    <t>OPPO Find X6</t>
  </si>
  <si>
    <t>Samsung S24</t>
  </si>
  <si>
    <t>Mieng dan man hinh</t>
  </si>
  <si>
    <t>Xiaomi 14</t>
  </si>
  <si>
    <t>iPhone 15 Pro Max</t>
  </si>
  <si>
    <t>iPad Air</t>
  </si>
  <si>
    <t>iPad Gen 10</t>
  </si>
  <si>
    <t>Lenovo Tab M10</t>
  </si>
  <si>
    <t>Tai nghe co day</t>
  </si>
  <si>
    <t>Sac du phong 20000mAh</t>
  </si>
  <si>
    <t>Galaxy Buds2 Pro</t>
  </si>
  <si>
    <t>Samsung Tab A9</t>
  </si>
  <si>
    <t>Samsung S24 Ultra</t>
  </si>
  <si>
    <t>Cap sac Type-C</t>
  </si>
  <si>
    <t>AirPods 3</t>
  </si>
  <si>
    <t>Apple Watch SE</t>
  </si>
  <si>
    <t>Realme 12 Pro</t>
  </si>
  <si>
    <t>iPhone 15</t>
  </si>
  <si>
    <t>Sac du phong 10000mAh</t>
  </si>
  <si>
    <t>Cap sac Lightning</t>
  </si>
  <si>
    <t>Xiaomi Pad 6</t>
  </si>
  <si>
    <t>Tai nghe Bluetooth</t>
  </si>
  <si>
    <t>iPhone 15 Pro</t>
  </si>
  <si>
    <t xml:space="preserve">[DH244] </t>
  </si>
  <si>
    <t xml:space="preserve"> Tran Minh Uy </t>
  </si>
  <si>
    <t xml:space="preserve">[DH150] </t>
  </si>
  <si>
    <t xml:space="preserve"> Quach Thanh Minh </t>
  </si>
  <si>
    <t xml:space="preserve">[DH255] </t>
  </si>
  <si>
    <t xml:space="preserve"> Tang Kim Lan </t>
  </si>
  <si>
    <t xml:space="preserve">[DH001] </t>
  </si>
  <si>
    <t xml:space="preserve"> Pham Van Kien </t>
  </si>
  <si>
    <t xml:space="preserve">[DH024] </t>
  </si>
  <si>
    <t xml:space="preserve"> Pham Van Phuc </t>
  </si>
  <si>
    <t xml:space="preserve">[DH225] </t>
  </si>
  <si>
    <t xml:space="preserve"> Tran Van Lan </t>
  </si>
  <si>
    <t xml:space="preserve">[DH012] </t>
  </si>
  <si>
    <t xml:space="preserve"> Duong Ngoc Cuong </t>
  </si>
  <si>
    <t xml:space="preserve">[DH029] </t>
  </si>
  <si>
    <t xml:space="preserve"> Tang Ngoc Uy </t>
  </si>
  <si>
    <t xml:space="preserve">[DH067] </t>
  </si>
  <si>
    <t xml:space="preserve"> Tang Kim Phuc </t>
  </si>
  <si>
    <t xml:space="preserve">[DH020] </t>
  </si>
  <si>
    <t xml:space="preserve"> Pham Hong Hanh </t>
  </si>
  <si>
    <t xml:space="preserve">[DH163] </t>
  </si>
  <si>
    <t xml:space="preserve"> Ma Hong Van </t>
  </si>
  <si>
    <t xml:space="preserve">[DH135] </t>
  </si>
  <si>
    <t xml:space="preserve"> Ngo Kim Van </t>
  </si>
  <si>
    <t xml:space="preserve">[DH026] </t>
  </si>
  <si>
    <t xml:space="preserve"> Nguyen Thi Hanh </t>
  </si>
  <si>
    <t xml:space="preserve">[DH141] </t>
  </si>
  <si>
    <t xml:space="preserve">[DH149] </t>
  </si>
  <si>
    <t xml:space="preserve"> Le Minh Tam </t>
  </si>
  <si>
    <t xml:space="preserve">[DH003] </t>
  </si>
  <si>
    <t xml:space="preserve"> Do Hoang Quynh </t>
  </si>
  <si>
    <t xml:space="preserve">[DH087] </t>
  </si>
  <si>
    <t xml:space="preserve"> Dinh Kim Kien </t>
  </si>
  <si>
    <t xml:space="preserve">[DH103] </t>
  </si>
  <si>
    <t xml:space="preserve"> La Van Yen </t>
  </si>
  <si>
    <t xml:space="preserve">[DH097] </t>
  </si>
  <si>
    <t xml:space="preserve"> Truong Hoang Kien </t>
  </si>
  <si>
    <t xml:space="preserve">[DH120] </t>
  </si>
  <si>
    <t xml:space="preserve"> Ma Hong Ngoc </t>
  </si>
  <si>
    <t xml:space="preserve">[DH159] </t>
  </si>
  <si>
    <t xml:space="preserve"> Duong Thi Quynh </t>
  </si>
  <si>
    <t xml:space="preserve">[DH035] </t>
  </si>
  <si>
    <t xml:space="preserve"> Bui Thi Dung </t>
  </si>
  <si>
    <t xml:space="preserve">[DH115] </t>
  </si>
  <si>
    <t xml:space="preserve"> Nguyen Duc Van </t>
  </si>
  <si>
    <t xml:space="preserve">[DH210] </t>
  </si>
  <si>
    <t xml:space="preserve"> La Ngoc Xuan </t>
  </si>
  <si>
    <t xml:space="preserve">[DH258] </t>
  </si>
  <si>
    <t xml:space="preserve"> Tran Van Quynh </t>
  </si>
  <si>
    <t xml:space="preserve">[DH095] </t>
  </si>
  <si>
    <t xml:space="preserve"> Ma Thi Em </t>
  </si>
  <si>
    <t xml:space="preserve">[DH123] </t>
  </si>
  <si>
    <t xml:space="preserve"> Truong Minh Yen </t>
  </si>
  <si>
    <t xml:space="preserve">[DH196] </t>
  </si>
  <si>
    <t xml:space="preserve"> Quach Thanh Xuan </t>
  </si>
  <si>
    <t xml:space="preserve">[DH199] </t>
  </si>
  <si>
    <t xml:space="preserve"> Truong Anh Em </t>
  </si>
  <si>
    <t xml:space="preserve">[DH132] </t>
  </si>
  <si>
    <t xml:space="preserve"> To Thi Ngoc </t>
  </si>
  <si>
    <t xml:space="preserve">[DH093] </t>
  </si>
  <si>
    <t xml:space="preserve"> Ma Van Giang </t>
  </si>
  <si>
    <t xml:space="preserve">[DH010] </t>
  </si>
  <si>
    <t xml:space="preserve"> Tang Thanh Giang </t>
  </si>
  <si>
    <t xml:space="preserve">[DH172] </t>
  </si>
  <si>
    <t xml:space="preserve"> Ly Hong Xuan </t>
  </si>
  <si>
    <t xml:space="preserve">[DH049] </t>
  </si>
  <si>
    <t xml:space="preserve"> Tang Anh Minh </t>
  </si>
  <si>
    <t xml:space="preserve">[DH121] </t>
  </si>
  <si>
    <t xml:space="preserve"> Pham Ngoc Cuong </t>
  </si>
  <si>
    <t xml:space="preserve">[DH042] </t>
  </si>
  <si>
    <t xml:space="preserve"> Ly Duc Hanh </t>
  </si>
  <si>
    <t xml:space="preserve">[DH280] </t>
  </si>
  <si>
    <t xml:space="preserve"> Tang Hong Minh </t>
  </si>
  <si>
    <t xml:space="preserve">[DH161] </t>
  </si>
  <si>
    <t xml:space="preserve"> Duong Van Minh </t>
  </si>
  <si>
    <t xml:space="preserve">[DH061] </t>
  </si>
  <si>
    <t xml:space="preserve"> Cao Minh Son </t>
  </si>
  <si>
    <t xml:space="preserve">[DH007] </t>
  </si>
  <si>
    <t xml:space="preserve"> Pham Kim Kien </t>
  </si>
  <si>
    <t xml:space="preserve">[DH033] </t>
  </si>
  <si>
    <t xml:space="preserve"> Bui Minh Ngoc </t>
  </si>
  <si>
    <t xml:space="preserve">[DH005] </t>
  </si>
  <si>
    <t xml:space="preserve"> Bui Van Son </t>
  </si>
  <si>
    <t xml:space="preserve">[DH234] </t>
  </si>
  <si>
    <t xml:space="preserve"> Tran Hoang Uy </t>
  </si>
  <si>
    <t xml:space="preserve">[DH046] </t>
  </si>
  <si>
    <t xml:space="preserve"> La Hong Ngoc </t>
  </si>
  <si>
    <t xml:space="preserve">[DH050] </t>
  </si>
  <si>
    <t xml:space="preserve"> Vu Thi Lan </t>
  </si>
  <si>
    <t xml:space="preserve">[DH021] </t>
  </si>
  <si>
    <t xml:space="preserve"> Tran Hong Cuong </t>
  </si>
  <si>
    <t xml:space="preserve">[DH140] </t>
  </si>
  <si>
    <t xml:space="preserve"> Ma Kim Kien </t>
  </si>
  <si>
    <t xml:space="preserve">[DH038] </t>
  </si>
  <si>
    <t xml:space="preserve"> Hoang Hoang Binh </t>
  </si>
  <si>
    <t xml:space="preserve">[DH075] </t>
  </si>
  <si>
    <t xml:space="preserve"> La Hoang Ngoc </t>
  </si>
  <si>
    <t xml:space="preserve">[DH268] </t>
  </si>
  <si>
    <t xml:space="preserve"> Cao Minh Cuong </t>
  </si>
  <si>
    <t xml:space="preserve">[DH278] </t>
  </si>
  <si>
    <t xml:space="preserve"> Quach Kim Minh </t>
  </si>
  <si>
    <t xml:space="preserve">[DH277] </t>
  </si>
  <si>
    <t xml:space="preserve"> Chau Anh Yen </t>
  </si>
  <si>
    <t xml:space="preserve">[DH147] </t>
  </si>
  <si>
    <t xml:space="preserve"> Truong Hong Minh </t>
  </si>
  <si>
    <t xml:space="preserve">[DH127] </t>
  </si>
  <si>
    <t xml:space="preserve"> Tran Ngoc Phuc </t>
  </si>
  <si>
    <t xml:space="preserve">[DH052] </t>
  </si>
  <si>
    <t xml:space="preserve"> Ma Kim Xuan </t>
  </si>
  <si>
    <t xml:space="preserve">[DH259] </t>
  </si>
  <si>
    <t xml:space="preserve"> Ly Van Yen </t>
  </si>
  <si>
    <t xml:space="preserve">[DH051] </t>
  </si>
  <si>
    <t xml:space="preserve"> Dinh Hong Giang </t>
  </si>
  <si>
    <t xml:space="preserve">[DH165] </t>
  </si>
  <si>
    <t xml:space="preserve"> Bui Van Tam </t>
  </si>
  <si>
    <t xml:space="preserve">[DH175] </t>
  </si>
  <si>
    <t xml:space="preserve"> Hoang Van Ngoc </t>
  </si>
  <si>
    <t xml:space="preserve">[DH009] </t>
  </si>
  <si>
    <t xml:space="preserve"> La Hong Minh </t>
  </si>
  <si>
    <t xml:space="preserve">[DH040] </t>
  </si>
  <si>
    <t xml:space="preserve"> Hoang Hong Phuong </t>
  </si>
  <si>
    <t xml:space="preserve">[DH254] </t>
  </si>
  <si>
    <t xml:space="preserve"> Truong Kim Binh </t>
  </si>
  <si>
    <t xml:space="preserve">[DH047] </t>
  </si>
  <si>
    <t xml:space="preserve"> Dinh Hoang Lan </t>
  </si>
  <si>
    <t xml:space="preserve">[DH112] </t>
  </si>
  <si>
    <t xml:space="preserve"> Tang Thanh Em </t>
  </si>
  <si>
    <t xml:space="preserve">[DH180] </t>
  </si>
  <si>
    <t xml:space="preserve"> To Thi Quynh </t>
  </si>
  <si>
    <t xml:space="preserve">[DH044] </t>
  </si>
  <si>
    <t xml:space="preserve"> Vu Anh Kien </t>
  </si>
  <si>
    <t xml:space="preserve">[DH016] </t>
  </si>
  <si>
    <t xml:space="preserve"> Hoang Thanh Phuong </t>
  </si>
  <si>
    <t xml:space="preserve">[DH145] </t>
  </si>
  <si>
    <t xml:space="preserve"> To Duc Dung </t>
  </si>
  <si>
    <t xml:space="preserve">[DH227] </t>
  </si>
  <si>
    <t xml:space="preserve"> Bui Minh An </t>
  </si>
  <si>
    <t xml:space="preserve">[DH137] </t>
  </si>
  <si>
    <t xml:space="preserve"> Tang Kim Cuong </t>
  </si>
  <si>
    <t xml:space="preserve">[DH034] </t>
  </si>
  <si>
    <t xml:space="preserve"> Dinh Anh Uy </t>
  </si>
  <si>
    <t xml:space="preserve">[DH058] </t>
  </si>
  <si>
    <t xml:space="preserve"> Le Kim Quynh </t>
  </si>
  <si>
    <t xml:space="preserve">[DH226] </t>
  </si>
  <si>
    <t xml:space="preserve"> Duong Ngoc Em </t>
  </si>
  <si>
    <t xml:space="preserve">[DH039] </t>
  </si>
  <si>
    <t xml:space="preserve"> Tran Thanh Giang </t>
  </si>
  <si>
    <t xml:space="preserve">[DH032] </t>
  </si>
  <si>
    <t xml:space="preserve"> Dinh Ngoc Minh </t>
  </si>
  <si>
    <t xml:space="preserve">[DH129] </t>
  </si>
  <si>
    <t xml:space="preserve"> Dinh Ngoc Uy </t>
  </si>
  <si>
    <t xml:space="preserve">[DH186] </t>
  </si>
  <si>
    <t xml:space="preserve"> Vu Ngoc Uy </t>
  </si>
  <si>
    <t xml:space="preserve">[DH219] </t>
  </si>
  <si>
    <t xml:space="preserve"> Le Thanh Son </t>
  </si>
  <si>
    <t xml:space="preserve">[DH083] </t>
  </si>
  <si>
    <t xml:space="preserve"> Quach Thi Giang </t>
  </si>
  <si>
    <t xml:space="preserve">[DH002] </t>
  </si>
  <si>
    <t xml:space="preserve"> Le Anh Quynh </t>
  </si>
  <si>
    <t xml:space="preserve">[DH223] </t>
  </si>
  <si>
    <t xml:space="preserve"> Truong Duc Binh </t>
  </si>
  <si>
    <t xml:space="preserve">[DH209] </t>
  </si>
  <si>
    <t xml:space="preserve"> Truong Anh Minh </t>
  </si>
  <si>
    <t xml:space="preserve">[DH183] </t>
  </si>
  <si>
    <t xml:space="preserve"> Duong Minh An </t>
  </si>
  <si>
    <t xml:space="preserve">[DH070] </t>
  </si>
  <si>
    <t xml:space="preserve"> Duong Duc Yen </t>
  </si>
  <si>
    <t xml:space="preserve">[DH154] </t>
  </si>
  <si>
    <t xml:space="preserve"> Ma Thi Minh </t>
  </si>
  <si>
    <t xml:space="preserve">[DH089] </t>
  </si>
  <si>
    <t xml:space="preserve"> Tran Minh Tam </t>
  </si>
  <si>
    <t xml:space="preserve">[DH239] </t>
  </si>
  <si>
    <t xml:space="preserve"> Ma Kim Phuc </t>
  </si>
  <si>
    <t xml:space="preserve">[DH015] </t>
  </si>
  <si>
    <t xml:space="preserve"> Bui Hoang Phuong </t>
  </si>
  <si>
    <t xml:space="preserve">[DH066] </t>
  </si>
  <si>
    <t xml:space="preserve"> Vu Anh Yen </t>
  </si>
  <si>
    <t xml:space="preserve">[DH071] </t>
  </si>
  <si>
    <t xml:space="preserve"> Ngo Thi Kien </t>
  </si>
  <si>
    <t xml:space="preserve">[DH242] </t>
  </si>
  <si>
    <t xml:space="preserve"> Do Thi Binh </t>
  </si>
  <si>
    <t xml:space="preserve">[DH106] </t>
  </si>
  <si>
    <t xml:space="preserve"> Cao Anh Hanh </t>
  </si>
  <si>
    <t xml:space="preserve">[DH059] </t>
  </si>
  <si>
    <t xml:space="preserve"> Tang Van Xuan </t>
  </si>
  <si>
    <t xml:space="preserve">[DH198] </t>
  </si>
  <si>
    <t xml:space="preserve"> Cao Duc Son </t>
  </si>
  <si>
    <t xml:space="preserve">[DH146] </t>
  </si>
  <si>
    <t xml:space="preserve"> Ly Thi Quynh </t>
  </si>
  <si>
    <t xml:space="preserve">[DH069] </t>
  </si>
  <si>
    <t xml:space="preserve"> Nguyen Kim Tam </t>
  </si>
  <si>
    <t xml:space="preserve">[DH204] </t>
  </si>
  <si>
    <t xml:space="preserve"> Chau Duc Van </t>
  </si>
  <si>
    <t xml:space="preserve">[DH249] </t>
  </si>
  <si>
    <t xml:space="preserve"> Truong Thi Son </t>
  </si>
  <si>
    <t xml:space="preserve">[DH019] </t>
  </si>
  <si>
    <t xml:space="preserve"> To Hong Van </t>
  </si>
  <si>
    <t xml:space="preserve">[DH098] </t>
  </si>
  <si>
    <t xml:space="preserve"> Ly Thanh Van </t>
  </si>
  <si>
    <t xml:space="preserve">[DH197] </t>
  </si>
  <si>
    <t xml:space="preserve"> To Anh An </t>
  </si>
  <si>
    <t xml:space="preserve">[DH004] </t>
  </si>
  <si>
    <t xml:space="preserve"> Bui Minh Giang </t>
  </si>
  <si>
    <t xml:space="preserve">[DH073] </t>
  </si>
  <si>
    <t xml:space="preserve"> Le Hong Quynh </t>
  </si>
  <si>
    <t xml:space="preserve">[DH011] </t>
  </si>
  <si>
    <t xml:space="preserve"> La Hoang Kien </t>
  </si>
  <si>
    <t xml:space="preserve">[DH155] </t>
  </si>
  <si>
    <t xml:space="preserve"> Duong Hoang Yen </t>
  </si>
  <si>
    <t xml:space="preserve">[DH267] </t>
  </si>
  <si>
    <t xml:space="preserve"> Cao Thi Lan </t>
  </si>
  <si>
    <t xml:space="preserve">[DH057] </t>
  </si>
  <si>
    <t xml:space="preserve"> Truong Thanh Van </t>
  </si>
  <si>
    <t xml:space="preserve">[DH143] </t>
  </si>
  <si>
    <t xml:space="preserve"> Hoang Kim Van </t>
  </si>
  <si>
    <t xml:space="preserve">[DH160] </t>
  </si>
  <si>
    <t xml:space="preserve"> Chau Hong Hanh </t>
  </si>
  <si>
    <t xml:space="preserve">[DH256] </t>
  </si>
  <si>
    <t xml:space="preserve"> La Thanh Kien </t>
  </si>
  <si>
    <t xml:space="preserve">[DH232] </t>
  </si>
  <si>
    <t xml:space="preserve"> Hoang Ngoc Em </t>
  </si>
  <si>
    <t xml:space="preserve">[DH030] </t>
  </si>
  <si>
    <t xml:space="preserve"> Ngo Kim Dung </t>
  </si>
  <si>
    <t xml:space="preserve">[DH233] </t>
  </si>
  <si>
    <t xml:space="preserve"> La Hong Hanh </t>
  </si>
  <si>
    <t xml:space="preserve">[DH064] </t>
  </si>
  <si>
    <t xml:space="preserve"> Ly Hong Cuong </t>
  </si>
  <si>
    <t xml:space="preserve">[DH176] </t>
  </si>
  <si>
    <t xml:space="preserve"> Chau Minh Em </t>
  </si>
  <si>
    <t xml:space="preserve">[DH065] </t>
  </si>
  <si>
    <t xml:space="preserve"> Hoang Hong Em </t>
  </si>
  <si>
    <t xml:space="preserve">[DH184] </t>
  </si>
  <si>
    <t xml:space="preserve"> Ly Thanh Phuc </t>
  </si>
  <si>
    <t xml:space="preserve">[DH105] </t>
  </si>
  <si>
    <t xml:space="preserve"> Ly Thanh Quynh </t>
  </si>
  <si>
    <t xml:space="preserve">[DH235] </t>
  </si>
  <si>
    <t xml:space="preserve"> Pham Hong Xuan </t>
  </si>
  <si>
    <t xml:space="preserve">[DH265] </t>
  </si>
  <si>
    <t xml:space="preserve"> Duong Van Hanh </t>
  </si>
  <si>
    <t xml:space="preserve">[DH214] </t>
  </si>
  <si>
    <t xml:space="preserve"> To Hoang Yen </t>
  </si>
  <si>
    <t xml:space="preserve">[DH188] </t>
  </si>
  <si>
    <t xml:space="preserve"> Le Thanh Ngoc </t>
  </si>
  <si>
    <t xml:space="preserve">[DH253] </t>
  </si>
  <si>
    <t xml:space="preserve"> Dinh Duc Ngoc </t>
  </si>
  <si>
    <t xml:space="preserve">[DH092] </t>
  </si>
  <si>
    <t xml:space="preserve"> Duong Van Van </t>
  </si>
  <si>
    <t xml:space="preserve">[DH014] </t>
  </si>
  <si>
    <t xml:space="preserve"> La Duc Minh </t>
  </si>
  <si>
    <t xml:space="preserve">[DH264] </t>
  </si>
  <si>
    <t xml:space="preserve"> Chau Van An </t>
  </si>
  <si>
    <t xml:space="preserve">[DH167] </t>
  </si>
  <si>
    <t xml:space="preserve"> Tran Kim Uy </t>
  </si>
  <si>
    <t xml:space="preserve">[DH139] </t>
  </si>
  <si>
    <t xml:space="preserve"> Hoang Minh Yen </t>
  </si>
  <si>
    <t xml:space="preserve">[DH211] </t>
  </si>
  <si>
    <t xml:space="preserve"> Tang Duc An </t>
  </si>
  <si>
    <t xml:space="preserve">[DH074] </t>
  </si>
  <si>
    <t xml:space="preserve"> Nguyen Thi Lan </t>
  </si>
  <si>
    <t xml:space="preserve">[DH171] </t>
  </si>
  <si>
    <t xml:space="preserve"> Quach Hoang An </t>
  </si>
  <si>
    <t xml:space="preserve">[DH216] </t>
  </si>
  <si>
    <t xml:space="preserve"> Bui Anh Tam </t>
  </si>
  <si>
    <t xml:space="preserve">[DH045] </t>
  </si>
  <si>
    <t xml:space="preserve"> Quach Hoang Dung </t>
  </si>
  <si>
    <t xml:space="preserve">[DH125] </t>
  </si>
  <si>
    <t xml:space="preserve"> Hoang Kim Uy </t>
  </si>
  <si>
    <t xml:space="preserve">[DH178] </t>
  </si>
  <si>
    <t xml:space="preserve"> Do Duc Ngoc </t>
  </si>
  <si>
    <t xml:space="preserve">[DH109] </t>
  </si>
  <si>
    <t xml:space="preserve"> Tang Duc Lan </t>
  </si>
  <si>
    <t xml:space="preserve">[DH099] </t>
  </si>
  <si>
    <t xml:space="preserve"> Ngo Kim Binh </t>
  </si>
  <si>
    <t xml:space="preserve">[DH036] </t>
  </si>
  <si>
    <t xml:space="preserve"> Bui Hoang Tam </t>
  </si>
  <si>
    <t xml:space="preserve">[DH108] </t>
  </si>
  <si>
    <t xml:space="preserve"> Bui Ngoc Lan </t>
  </si>
  <si>
    <t xml:space="preserve">[DH220] </t>
  </si>
  <si>
    <t xml:space="preserve"> La Duc Em </t>
  </si>
  <si>
    <t xml:space="preserve">[DH131] </t>
  </si>
  <si>
    <t xml:space="preserve"> To Thanh Kien </t>
  </si>
  <si>
    <t xml:space="preserve">[DH096] </t>
  </si>
  <si>
    <t xml:space="preserve"> Ngo Ngoc Van </t>
  </si>
  <si>
    <t xml:space="preserve">[DH203] </t>
  </si>
  <si>
    <t xml:space="preserve"> Duong Ngoc Hanh </t>
  </si>
  <si>
    <t xml:space="preserve">[DH062] </t>
  </si>
  <si>
    <t xml:space="preserve"> Le Kim Em </t>
  </si>
  <si>
    <t xml:space="preserve">[DH031] </t>
  </si>
  <si>
    <t xml:space="preserve"> Tang Anh Uy </t>
  </si>
  <si>
    <t xml:space="preserve">[DH168] </t>
  </si>
  <si>
    <t xml:space="preserve"> Truong Minh Em </t>
  </si>
  <si>
    <t xml:space="preserve">[DH251] </t>
  </si>
  <si>
    <t xml:space="preserve"> Dinh Van Giang </t>
  </si>
  <si>
    <t xml:space="preserve">[DH191] </t>
  </si>
  <si>
    <t xml:space="preserve"> Chau Hoang Quynh </t>
  </si>
  <si>
    <t xml:space="preserve">[DH228] </t>
  </si>
  <si>
    <t xml:space="preserve"> Cao Kim Uy </t>
  </si>
  <si>
    <t xml:space="preserve">[DH212] </t>
  </si>
  <si>
    <t xml:space="preserve"> Tang Ngoc Phuong </t>
  </si>
  <si>
    <t xml:space="preserve">[DH222] </t>
  </si>
  <si>
    <t xml:space="preserve"> Nguyen Hoang Phuong </t>
  </si>
  <si>
    <t xml:space="preserve">[DH091] </t>
  </si>
  <si>
    <t xml:space="preserve"> Chau Duc Phuc </t>
  </si>
  <si>
    <t xml:space="preserve">[DH237] </t>
  </si>
  <si>
    <t xml:space="preserve"> Nguyen Hong Xuan </t>
  </si>
  <si>
    <t xml:space="preserve">[DH173] </t>
  </si>
  <si>
    <t xml:space="preserve"> Duong Hoang Uy </t>
  </si>
  <si>
    <t xml:space="preserve">[DH151] </t>
  </si>
  <si>
    <t xml:space="preserve"> Tang Van Ngoc </t>
  </si>
  <si>
    <t xml:space="preserve">[DH101] </t>
  </si>
  <si>
    <t xml:space="preserve"> Pham Hoang Son </t>
  </si>
  <si>
    <t xml:space="preserve">[DH157] </t>
  </si>
  <si>
    <t xml:space="preserve"> Quach Minh Minh </t>
  </si>
  <si>
    <t xml:space="preserve">[DH195] </t>
  </si>
  <si>
    <t xml:space="preserve"> La Thi Uy </t>
  </si>
  <si>
    <t xml:space="preserve">[DH153] </t>
  </si>
  <si>
    <t xml:space="preserve"> Tran Ngoc Xuan </t>
  </si>
  <si>
    <t xml:space="preserve">[DH081] </t>
  </si>
  <si>
    <t xml:space="preserve"> Dinh Thi Hanh </t>
  </si>
  <si>
    <t xml:space="preserve">[DH200] </t>
  </si>
  <si>
    <t xml:space="preserve"> Duong Hoang Dung </t>
  </si>
  <si>
    <t xml:space="preserve">[DH136] </t>
  </si>
  <si>
    <t xml:space="preserve"> Bui Van Phuong </t>
  </si>
  <si>
    <t xml:space="preserve">[DH126] </t>
  </si>
  <si>
    <t xml:space="preserve"> Ma Hoang Hanh </t>
  </si>
  <si>
    <t xml:space="preserve">[DH068] </t>
  </si>
  <si>
    <t xml:space="preserve"> Quach Thi Xuan </t>
  </si>
  <si>
    <t xml:space="preserve">[DH224] </t>
  </si>
  <si>
    <t xml:space="preserve"> Vu Kim Phuong </t>
  </si>
  <si>
    <t xml:space="preserve">[DH118] </t>
  </si>
  <si>
    <t xml:space="preserve"> La Minh Phuc </t>
  </si>
  <si>
    <t xml:space="preserve">[DH193] </t>
  </si>
  <si>
    <t xml:space="preserve"> Pham Hoang Em </t>
  </si>
  <si>
    <t xml:space="preserve">[DH084] </t>
  </si>
  <si>
    <t xml:space="preserve"> Le Minh An </t>
  </si>
  <si>
    <t xml:space="preserve">[DH094] </t>
  </si>
  <si>
    <t xml:space="preserve"> Quach Hong Phuong </t>
  </si>
  <si>
    <t xml:space="preserve">[DH261] </t>
  </si>
  <si>
    <t xml:space="preserve"> Duong Kim Phuong </t>
  </si>
  <si>
    <t xml:space="preserve">[DH138] </t>
  </si>
  <si>
    <t xml:space="preserve"> To Ngoc Minh </t>
  </si>
  <si>
    <t xml:space="preserve">[DH027] </t>
  </si>
  <si>
    <t xml:space="preserve"> Cao Van Phuc </t>
  </si>
  <si>
    <t xml:space="preserve">[DH148] </t>
  </si>
  <si>
    <t xml:space="preserve"> Ly Minh Hanh </t>
  </si>
  <si>
    <t xml:space="preserve">[DH017] </t>
  </si>
  <si>
    <t xml:space="preserve"> Pham Thanh Lan </t>
  </si>
  <si>
    <t xml:space="preserve">[DH252] </t>
  </si>
  <si>
    <t xml:space="preserve"> Do Kim Hanh </t>
  </si>
  <si>
    <t xml:space="preserve">[DH240] </t>
  </si>
  <si>
    <t xml:space="preserve"> Pham Minh Van </t>
  </si>
  <si>
    <t xml:space="preserve">[DH273] </t>
  </si>
  <si>
    <t xml:space="preserve"> Ma Hoang Van </t>
  </si>
  <si>
    <t xml:space="preserve">[DH181] </t>
  </si>
  <si>
    <t xml:space="preserve"> Dinh Duc Son </t>
  </si>
  <si>
    <t xml:space="preserve">[DH100] </t>
  </si>
  <si>
    <t xml:space="preserve"> Hoang Ngoc Binh </t>
  </si>
  <si>
    <t xml:space="preserve">[DH207] </t>
  </si>
  <si>
    <t xml:space="preserve">[DH152] </t>
  </si>
  <si>
    <t xml:space="preserve"> Le Thi Yen </t>
  </si>
  <si>
    <t xml:space="preserve">[DH231] </t>
  </si>
  <si>
    <t xml:space="preserve"> Vu Kim Uy </t>
  </si>
  <si>
    <t xml:space="preserve">[DH271] </t>
  </si>
  <si>
    <t xml:space="preserve"> Ngo Thi Cuong </t>
  </si>
  <si>
    <t xml:space="preserve">[DH158] </t>
  </si>
  <si>
    <t xml:space="preserve"> Cao Minh Yen </t>
  </si>
  <si>
    <t xml:space="preserve">[DH189] </t>
  </si>
  <si>
    <t xml:space="preserve"> Vu Thanh Uy </t>
  </si>
  <si>
    <t xml:space="preserve">[DH008] </t>
  </si>
  <si>
    <t xml:space="preserve"> Bui Thi Yen </t>
  </si>
  <si>
    <t xml:space="preserve">[DH102] </t>
  </si>
  <si>
    <t xml:space="preserve"> Truong Anh Phuc </t>
  </si>
  <si>
    <t xml:space="preserve">[DH111] </t>
  </si>
  <si>
    <t xml:space="preserve"> Quach Duc Em </t>
  </si>
  <si>
    <t xml:space="preserve">[DH169] </t>
  </si>
  <si>
    <t xml:space="preserve"> Nguyen Thi An </t>
  </si>
  <si>
    <t xml:space="preserve">[DH164] </t>
  </si>
  <si>
    <t xml:space="preserve"> Ma Ngoc Lan </t>
  </si>
  <si>
    <t xml:space="preserve">[DH202] </t>
  </si>
  <si>
    <t xml:space="preserve">[DH048] </t>
  </si>
  <si>
    <t xml:space="preserve">[DH162] </t>
  </si>
  <si>
    <t xml:space="preserve"> Quach Minh Son </t>
  </si>
  <si>
    <t xml:space="preserve">[DH104] </t>
  </si>
  <si>
    <t xml:space="preserve"> Pham Thi Son </t>
  </si>
  <si>
    <t xml:space="preserve">[DH060] </t>
  </si>
  <si>
    <t xml:space="preserve"> La Hoang Yen </t>
  </si>
  <si>
    <t xml:space="preserve">[DH119] </t>
  </si>
  <si>
    <t xml:space="preserve"> To Thi Tam </t>
  </si>
  <si>
    <t xml:space="preserve">[DH110] </t>
  </si>
  <si>
    <t xml:space="preserve"> Tran Anh Tam </t>
  </si>
  <si>
    <t xml:space="preserve">[DH144] </t>
  </si>
  <si>
    <t xml:space="preserve"> Tran Kim An </t>
  </si>
  <si>
    <t xml:space="preserve">[DH085] </t>
  </si>
  <si>
    <t xml:space="preserve"> Dinh Ngoc Cuong </t>
  </si>
  <si>
    <t xml:space="preserve">[DH041] </t>
  </si>
  <si>
    <t xml:space="preserve"> Ngo Duc Phuong </t>
  </si>
  <si>
    <t xml:space="preserve">[DH142] </t>
  </si>
  <si>
    <t xml:space="preserve"> Dinh Hong Em </t>
  </si>
  <si>
    <t xml:space="preserve">[DH270] </t>
  </si>
  <si>
    <t xml:space="preserve"> Chau Hong Ngoc </t>
  </si>
  <si>
    <t xml:space="preserve">[DH063] </t>
  </si>
  <si>
    <t xml:space="preserve"> Truong Kim Kien </t>
  </si>
  <si>
    <t xml:space="preserve">[DH190] </t>
  </si>
  <si>
    <t xml:space="preserve"> Tang Thanh Son </t>
  </si>
  <si>
    <t xml:space="preserve">[DH043] </t>
  </si>
  <si>
    <t xml:space="preserve"> Bui Thanh Uy </t>
  </si>
  <si>
    <t xml:space="preserve">[DH276] </t>
  </si>
  <si>
    <t xml:space="preserve"> Vu Kim Kien </t>
  </si>
  <si>
    <t xml:space="preserve">[DH174] </t>
  </si>
  <si>
    <t xml:space="preserve"> Bui Van Ngoc </t>
  </si>
  <si>
    <t xml:space="preserve">[DH028] </t>
  </si>
  <si>
    <t xml:space="preserve"> Do Duc Giang </t>
  </si>
  <si>
    <t xml:space="preserve">[DH166] </t>
  </si>
  <si>
    <t xml:space="preserve"> Bui Ngoc Uy </t>
  </si>
  <si>
    <t xml:space="preserve">[DH243] </t>
  </si>
  <si>
    <t xml:space="preserve"> Tran Ngoc Yen </t>
  </si>
  <si>
    <t xml:space="preserve">[DH218] </t>
  </si>
  <si>
    <t xml:space="preserve"> La Kim Phuc </t>
  </si>
  <si>
    <t xml:space="preserve">[DH272] </t>
  </si>
  <si>
    <t xml:space="preserve"> Pham Thi An </t>
  </si>
  <si>
    <t xml:space="preserve">[DH250] </t>
  </si>
  <si>
    <t xml:space="preserve"> Quach Anh Binh </t>
  </si>
  <si>
    <t xml:space="preserve">[DH208] </t>
  </si>
  <si>
    <t xml:space="preserve"> Tran Van Em </t>
  </si>
  <si>
    <t xml:space="preserve">[DH077] </t>
  </si>
  <si>
    <t xml:space="preserve"> Bui Anh Uy </t>
  </si>
  <si>
    <t xml:space="preserve">[DH018] </t>
  </si>
  <si>
    <t xml:space="preserve"> La Minh Em </t>
  </si>
  <si>
    <t xml:space="preserve">[DH082] </t>
  </si>
  <si>
    <t xml:space="preserve"> Duong Kim Son </t>
  </si>
  <si>
    <t xml:space="preserve">[DH116] </t>
  </si>
  <si>
    <t xml:space="preserve"> Ly Thi Hanh </t>
  </si>
  <si>
    <t xml:space="preserve">[DH179] </t>
  </si>
  <si>
    <t xml:space="preserve"> Ma Kim Minh </t>
  </si>
  <si>
    <t xml:space="preserve">[DH113] </t>
  </si>
  <si>
    <t xml:space="preserve"> Ly Hoang Uy </t>
  </si>
  <si>
    <t xml:space="preserve">[DH025] </t>
  </si>
  <si>
    <t xml:space="preserve"> Vu Duc Son </t>
  </si>
  <si>
    <t xml:space="preserve">[DH122] </t>
  </si>
  <si>
    <t xml:space="preserve"> Hoang Anh Giang </t>
  </si>
  <si>
    <t xml:space="preserve">[DH245] </t>
  </si>
  <si>
    <t xml:space="preserve"> Truong Hong Lan </t>
  </si>
  <si>
    <t xml:space="preserve">[DH134] </t>
  </si>
  <si>
    <t xml:space="preserve"> Hoang Ngoc Hanh </t>
  </si>
  <si>
    <t xml:space="preserve">[DH053] </t>
  </si>
  <si>
    <t xml:space="preserve"> Nguyen Thi Quynh </t>
  </si>
  <si>
    <t xml:space="preserve">[DH263] </t>
  </si>
  <si>
    <t xml:space="preserve"> Ngo Duc Cuong </t>
  </si>
  <si>
    <t xml:space="preserve">[DH117] </t>
  </si>
  <si>
    <t xml:space="preserve"> Ma Duc Quynh </t>
  </si>
  <si>
    <t xml:space="preserve">[DH088] </t>
  </si>
  <si>
    <t xml:space="preserve"> Truong Anh Kien </t>
  </si>
  <si>
    <t xml:space="preserve">[DH080] </t>
  </si>
  <si>
    <t xml:space="preserve"> Bui Ngoc Dung </t>
  </si>
  <si>
    <t xml:space="preserve">[DH090] </t>
  </si>
  <si>
    <t xml:space="preserve"> Le Ngoc Ngoc </t>
  </si>
  <si>
    <t xml:space="preserve">[DH037] </t>
  </si>
  <si>
    <t xml:space="preserve"> Hoang Duc Phuong </t>
  </si>
  <si>
    <t xml:space="preserve">[DH187] </t>
  </si>
  <si>
    <t xml:space="preserve"> Dinh Ngoc Giang </t>
  </si>
  <si>
    <t xml:space="preserve">[DH241] </t>
  </si>
  <si>
    <t xml:space="preserve"> Ma Hoang Quynh </t>
  </si>
  <si>
    <t xml:space="preserve">[DH213] </t>
  </si>
  <si>
    <t xml:space="preserve"> Tran Anh Dung </t>
  </si>
  <si>
    <t xml:space="preserve">[DH022] </t>
  </si>
  <si>
    <t xml:space="preserve"> La Minh Xuan </t>
  </si>
  <si>
    <t xml:space="preserve">[DH247] </t>
  </si>
  <si>
    <t xml:space="preserve"> To Minh Lan </t>
  </si>
  <si>
    <t xml:space="preserve">[DH236] </t>
  </si>
  <si>
    <t xml:space="preserve"> To Ngoc Xuan </t>
  </si>
  <si>
    <t xml:space="preserve">[DH107] </t>
  </si>
  <si>
    <t xml:space="preserve"> Nguyen Ngoc Lan </t>
  </si>
  <si>
    <t xml:space="preserve">[DH076] </t>
  </si>
  <si>
    <t xml:space="preserve"> Bui Hong Dung </t>
  </si>
  <si>
    <t xml:space="preserve">[DH054] </t>
  </si>
  <si>
    <t xml:space="preserve"> Ma Minh Son </t>
  </si>
  <si>
    <t xml:space="preserve">[DH248] </t>
  </si>
  <si>
    <t xml:space="preserve">[DH013] </t>
  </si>
  <si>
    <t xml:space="preserve"> Cao Kim Yen </t>
  </si>
  <si>
    <t xml:space="preserve">[DH177] </t>
  </si>
  <si>
    <t xml:space="preserve"> Tran Thanh Lan </t>
  </si>
  <si>
    <t xml:space="preserve">[DH078] </t>
  </si>
  <si>
    <t xml:space="preserve"> Nguyen Hoang Em </t>
  </si>
  <si>
    <t xml:space="preserve">[DH257] </t>
  </si>
  <si>
    <t xml:space="preserve"> Vu Minh Van </t>
  </si>
  <si>
    <t xml:space="preserve">[DH238] </t>
  </si>
  <si>
    <t xml:space="preserve"> Chau Van Lan </t>
  </si>
  <si>
    <t xml:space="preserve">[DH201] </t>
  </si>
  <si>
    <t xml:space="preserve"> Tran Duc Phuc </t>
  </si>
  <si>
    <t xml:space="preserve">[DH192] </t>
  </si>
  <si>
    <t xml:space="preserve"> Duong Thanh Em </t>
  </si>
  <si>
    <t xml:space="preserve">[DH229] </t>
  </si>
  <si>
    <t xml:space="preserve"> Truong Hong An </t>
  </si>
  <si>
    <t xml:space="preserve">[DH269] </t>
  </si>
  <si>
    <t xml:space="preserve"> Truong Anh Yen </t>
  </si>
  <si>
    <t xml:space="preserve">[DH266] </t>
  </si>
  <si>
    <t xml:space="preserve"> Bui Hoang Xuan </t>
  </si>
  <si>
    <t xml:space="preserve">[DH262] </t>
  </si>
  <si>
    <t xml:space="preserve"> Ly Duc Phuc </t>
  </si>
  <si>
    <t xml:space="preserve">[DH114] </t>
  </si>
  <si>
    <t xml:space="preserve">[DH133] </t>
  </si>
  <si>
    <t xml:space="preserve"> To Thanh Quynh </t>
  </si>
  <si>
    <t xml:space="preserve">[DH006] </t>
  </si>
  <si>
    <t xml:space="preserve">[DH055] </t>
  </si>
  <si>
    <t xml:space="preserve"> Duong Kim Van </t>
  </si>
  <si>
    <t xml:space="preserve">[DH221] </t>
  </si>
  <si>
    <t xml:space="preserve"> Ngo Hong Binh </t>
  </si>
  <si>
    <t xml:space="preserve">[DH170] </t>
  </si>
  <si>
    <t xml:space="preserve"> Dinh Thi Binh </t>
  </si>
  <si>
    <t xml:space="preserve">[DH205] </t>
  </si>
  <si>
    <t xml:space="preserve"> Ly Van Phuc </t>
  </si>
  <si>
    <t xml:space="preserve">[DH023] </t>
  </si>
  <si>
    <t xml:space="preserve">[DH086] </t>
  </si>
  <si>
    <t xml:space="preserve"> Hoang Duc Em </t>
  </si>
  <si>
    <t xml:space="preserve">[DH182] </t>
  </si>
  <si>
    <t xml:space="preserve"> Ly Anh Quynh </t>
  </si>
  <si>
    <t xml:space="preserve">[DH128] </t>
  </si>
  <si>
    <t xml:space="preserve"> Quach Minh Cuong </t>
  </si>
  <si>
    <t xml:space="preserve">[DH056] </t>
  </si>
  <si>
    <t xml:space="preserve">[DH275] </t>
  </si>
  <si>
    <t xml:space="preserve"> Tang Hoang Phuong </t>
  </si>
  <si>
    <t xml:space="preserve">[DH185] </t>
  </si>
  <si>
    <t xml:space="preserve"> Tang Minh Uy </t>
  </si>
  <si>
    <t xml:space="preserve">[DH279] </t>
  </si>
  <si>
    <t xml:space="preserve"> Do Ngoc Minh </t>
  </si>
  <si>
    <t xml:space="preserve">[DH215] </t>
  </si>
  <si>
    <t xml:space="preserve"> Chau Hoang Phuc </t>
  </si>
  <si>
    <t xml:space="preserve">[DH260] </t>
  </si>
  <si>
    <t xml:space="preserve"> La Hoang Quynh </t>
  </si>
  <si>
    <t xml:space="preserve">[DH274] </t>
  </si>
  <si>
    <t xml:space="preserve"> Quach Thanh Phuc </t>
  </si>
  <si>
    <t xml:space="preserve">[DH206] </t>
  </si>
  <si>
    <t xml:space="preserve"> Duong Ngoc Van </t>
  </si>
  <si>
    <t xml:space="preserve">[DH246] </t>
  </si>
  <si>
    <t xml:space="preserve"> Tang Minh Quynh </t>
  </si>
  <si>
    <t xml:space="preserve">[DH230] </t>
  </si>
  <si>
    <t xml:space="preserve"> Tang Van Kien </t>
  </si>
  <si>
    <t xml:space="preserve">[DH194] </t>
  </si>
  <si>
    <t xml:space="preserve"> Dinh Thi Kien </t>
  </si>
  <si>
    <t xml:space="preserve">[DH217] </t>
  </si>
  <si>
    <t xml:space="preserve"> Dinh Hong Tam </t>
  </si>
  <si>
    <t xml:space="preserve">[DH079] </t>
  </si>
  <si>
    <t xml:space="preserve"> Chau Thi An </t>
  </si>
  <si>
    <t xml:space="preserve">[DH130] </t>
  </si>
  <si>
    <t xml:space="preserve"> Do Kim Son </t>
  </si>
  <si>
    <t xml:space="preserve">[DH124] </t>
  </si>
  <si>
    <t xml:space="preserve"> Pham Van Em </t>
  </si>
  <si>
    <t xml:space="preserve">[DH156] </t>
  </si>
  <si>
    <t xml:space="preserve"> Quach Van Minh </t>
  </si>
  <si>
    <t xml:space="preserve">[DH072] </t>
  </si>
  <si>
    <t xml:space="preserve"> Vu Ngoc Giang </t>
  </si>
  <si>
    <t>Ma_Don</t>
  </si>
  <si>
    <t>Ten_Khach</t>
  </si>
  <si>
    <t>SDT</t>
  </si>
  <si>
    <t>Doanh_Thu</t>
  </si>
  <si>
    <t>Tháng</t>
  </si>
  <si>
    <t>Tuần</t>
  </si>
  <si>
    <t>Row Labels</t>
  </si>
  <si>
    <t>Grand Total</t>
  </si>
  <si>
    <t>Sum of Doanh_Thu</t>
  </si>
  <si>
    <t>Sum of Qty</t>
  </si>
  <si>
    <r>
      <t>KPI 1:</t>
    </r>
    <r>
      <rPr>
        <sz val="10"/>
        <color rgb="FF000000"/>
        <rFont val="Roboto"/>
      </rPr>
      <t xml:space="preserve"> Tổng Doanh thu</t>
    </r>
  </si>
  <si>
    <r>
      <t>KPI 2:</t>
    </r>
    <r>
      <rPr>
        <sz val="10"/>
        <color rgb="FF000000"/>
        <rFont val="Roboto"/>
      </rPr>
      <t xml:space="preserve"> Tổng số đơn hàng</t>
    </r>
  </si>
  <si>
    <r>
      <t>KPI 3:</t>
    </r>
    <r>
      <rPr>
        <sz val="10"/>
        <color rgb="FF000000"/>
        <rFont val="Roboto"/>
      </rPr>
      <t xml:space="preserve"> Giá trị trung bình đơn hàng (AOV)</t>
    </r>
  </si>
  <si>
    <r>
      <t>KPI 4:</t>
    </r>
    <r>
      <rPr>
        <sz val="10"/>
        <color rgb="FF000000"/>
        <rFont val="Roboto"/>
      </rPr>
      <t xml:space="preserve"> Sản phẩm bán chạy nhất</t>
    </r>
  </si>
  <si>
    <t>DASHBOARD DOANH SỐ MOBILE PLUS - THÁNG 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</si>
</sst>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 &quot;₫&quot;"/>
  </numFmts>
  <fonts count="6" x14ac:knownFonts="1">
    <font>
      <sz val="11"/>
      <color theme="1"/>
      <name val="Calibri"/>
      <family val="2"/>
      <scheme val="minor"/>
    </font>
    <font>
      <b/>
      <sz val="11"/>
      <color theme="1"/>
      <name val="Calibri"/>
      <family val="2"/>
      <scheme val="minor"/>
    </font>
    <font>
      <sz val="10"/>
      <color rgb="FF000000"/>
      <name val="Roboto"/>
    </font>
    <font>
      <b/>
      <sz val="10"/>
      <color rgb="FF000000"/>
      <name val="Roboto"/>
    </font>
    <font>
      <sz val="20"/>
      <color rgb="FF000000"/>
      <name val="Arial"/>
      <family val="2"/>
    </font>
    <font>
      <sz val="8"/>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1" xfId="0" applyNumberFormat="1" applyFont="1" applyBorder="1" applyAlignment="1">
      <alignment horizontal="center" vertical="top"/>
    </xf>
    <xf numFmtId="0" fontId="0" fillId="0" borderId="0" xfId="0" applyNumberFormat="1"/>
    <xf numFmtId="1" fontId="0" fillId="0" borderId="0" xfId="0" applyNumberFormat="1"/>
    <xf numFmtId="14"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3" fillId="0" borderId="0" xfId="0" applyFont="1"/>
    <xf numFmtId="0" fontId="0" fillId="2" borderId="0" xfId="0" applyFill="1"/>
    <xf numFmtId="0" fontId="4" fillId="2" borderId="0" xfId="0" applyFont="1" applyFill="1" applyAlignment="1">
      <alignment horizontal="center" vertical="center"/>
    </xf>
    <xf numFmtId="0" fontId="4" fillId="2" borderId="0" xfId="0" applyFont="1" applyFill="1" applyAlignment="1">
      <alignment vertical="center"/>
    </xf>
  </cellXfs>
  <cellStyles count="1">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9" formatCode="dd/m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Doanh thu theo Chi nhánh - Tháng 12/2024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Sheet2!$A$6:$A$9</c:f>
              <c:strCache>
                <c:ptCount val="3"/>
                <c:pt idx="0">
                  <c:v>Cau Giay</c:v>
                </c:pt>
                <c:pt idx="1">
                  <c:v>Long Bien</c:v>
                </c:pt>
                <c:pt idx="2">
                  <c:v>Dong Da</c:v>
                </c:pt>
              </c:strCache>
            </c:strRef>
          </c:cat>
          <c:val>
            <c:numRef>
              <c:f>Sheet2!$B$6:$B$9</c:f>
              <c:numCache>
                <c:formatCode>#,##0\ "₫"</c:formatCode>
                <c:ptCount val="3"/>
                <c:pt idx="0">
                  <c:v>1031470000</c:v>
                </c:pt>
                <c:pt idx="1">
                  <c:v>821110000</c:v>
                </c:pt>
                <c:pt idx="2">
                  <c:v>784580000</c:v>
                </c:pt>
              </c:numCache>
            </c:numRef>
          </c:val>
          <c:extLst>
            <c:ext xmlns:c16="http://schemas.microsoft.com/office/drawing/2014/chart" uri="{C3380CC4-5D6E-409C-BE32-E72D297353CC}">
              <c16:uniqueId val="{00000000-E740-45AE-B7BA-A934C4CAF05A}"/>
            </c:ext>
          </c:extLst>
        </c:ser>
        <c:dLbls>
          <c:dLblPos val="outEnd"/>
          <c:showLegendKey val="0"/>
          <c:showVal val="1"/>
          <c:showCatName val="0"/>
          <c:showSerName val="0"/>
          <c:showPercent val="0"/>
          <c:showBubbleSize val="0"/>
        </c:dLbls>
        <c:gapWidth val="219"/>
        <c:overlap val="-27"/>
        <c:axId val="186267263"/>
        <c:axId val="186253951"/>
      </c:barChart>
      <c:catAx>
        <c:axId val="18626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3951"/>
        <c:crosses val="autoZero"/>
        <c:auto val="1"/>
        <c:lblAlgn val="ctr"/>
        <c:lblOffset val="100"/>
        <c:noMultiLvlLbl val="0"/>
      </c:catAx>
      <c:valAx>
        <c:axId val="186253951"/>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Tỷ trọng Doanh thu theo Danh mục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Sheet2!$A$20:$A$21</c:f>
              <c:strCache>
                <c:ptCount val="1"/>
                <c:pt idx="0">
                  <c:v>Dien thoai</c:v>
                </c:pt>
              </c:strCache>
            </c:strRef>
          </c:cat>
          <c:val>
            <c:numRef>
              <c:f>Sheet2!$B$20:$B$21</c:f>
              <c:numCache>
                <c:formatCode>General</c:formatCode>
                <c:ptCount val="1"/>
                <c:pt idx="0">
                  <c:v>2637160000</c:v>
                </c:pt>
              </c:numCache>
            </c:numRef>
          </c:val>
          <c:extLst>
            <c:ext xmlns:c16="http://schemas.microsoft.com/office/drawing/2014/chart" uri="{C3380CC4-5D6E-409C-BE32-E72D297353CC}">
              <c16:uniqueId val="{00000000-F375-4C2B-B02B-79330F0B7D2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400" b="0" i="0" u="none" strike="noStrike" baseline="0">
                <a:effectLst/>
              </a:rPr>
              <a:t>Xu hướng Doanh thu theo Tuần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Sheet2!$B$31</c:f>
              <c:strCache>
                <c:ptCount val="1"/>
                <c:pt idx="0">
                  <c:v>Sum of Doanh_Thu</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Sheet2!$A$32:$A$44</c:f>
              <c:strCache>
                <c:ptCount val="12"/>
                <c:pt idx="0">
                  <c:v>7</c:v>
                </c:pt>
                <c:pt idx="1">
                  <c:v>11</c:v>
                </c:pt>
                <c:pt idx="2">
                  <c:v>20</c:v>
                </c:pt>
                <c:pt idx="3">
                  <c:v>28</c:v>
                </c:pt>
                <c:pt idx="4">
                  <c:v>33</c:v>
                </c:pt>
                <c:pt idx="5">
                  <c:v>37</c:v>
                </c:pt>
                <c:pt idx="6">
                  <c:v>46</c:v>
                </c:pt>
                <c:pt idx="7">
                  <c:v>49</c:v>
                </c:pt>
                <c:pt idx="8">
                  <c:v>50</c:v>
                </c:pt>
                <c:pt idx="9">
                  <c:v>51</c:v>
                </c:pt>
                <c:pt idx="10">
                  <c:v>52</c:v>
                </c:pt>
                <c:pt idx="11">
                  <c:v>53</c:v>
                </c:pt>
              </c:strCache>
            </c:strRef>
          </c:cat>
          <c:val>
            <c:numRef>
              <c:f>Sheet2!$B$32:$B$44</c:f>
              <c:numCache>
                <c:formatCode>General</c:formatCode>
                <c:ptCount val="12"/>
                <c:pt idx="0">
                  <c:v>76980000</c:v>
                </c:pt>
                <c:pt idx="1">
                  <c:v>37500000</c:v>
                </c:pt>
                <c:pt idx="2">
                  <c:v>51980000</c:v>
                </c:pt>
                <c:pt idx="3">
                  <c:v>18990000</c:v>
                </c:pt>
                <c:pt idx="4">
                  <c:v>18990000</c:v>
                </c:pt>
                <c:pt idx="5">
                  <c:v>25990000</c:v>
                </c:pt>
                <c:pt idx="6">
                  <c:v>37980000</c:v>
                </c:pt>
                <c:pt idx="7">
                  <c:v>376790000</c:v>
                </c:pt>
                <c:pt idx="8">
                  <c:v>434750000</c:v>
                </c:pt>
                <c:pt idx="9">
                  <c:v>709180000</c:v>
                </c:pt>
                <c:pt idx="10">
                  <c:v>665600000</c:v>
                </c:pt>
                <c:pt idx="11">
                  <c:v>182430000</c:v>
                </c:pt>
              </c:numCache>
            </c:numRef>
          </c:val>
          <c:smooth val="0"/>
          <c:extLst>
            <c:ext xmlns:c16="http://schemas.microsoft.com/office/drawing/2014/chart" uri="{C3380CC4-5D6E-409C-BE32-E72D297353CC}">
              <c16:uniqueId val="{00000000-DDC8-417F-A6DD-F122BE21F03F}"/>
            </c:ext>
          </c:extLst>
        </c:ser>
        <c:ser>
          <c:idx val="1"/>
          <c:order val="1"/>
          <c:tx>
            <c:strRef>
              <c:f>Sheet2!$C$31</c:f>
              <c:strCache>
                <c:ptCount val="1"/>
                <c:pt idx="0">
                  <c:v>Sum of Qty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Sheet2!$A$32:$A$44</c:f>
              <c:strCache>
                <c:ptCount val="12"/>
                <c:pt idx="0">
                  <c:v>7</c:v>
                </c:pt>
                <c:pt idx="1">
                  <c:v>11</c:v>
                </c:pt>
                <c:pt idx="2">
                  <c:v>20</c:v>
                </c:pt>
                <c:pt idx="3">
                  <c:v>28</c:v>
                </c:pt>
                <c:pt idx="4">
                  <c:v>33</c:v>
                </c:pt>
                <c:pt idx="5">
                  <c:v>37</c:v>
                </c:pt>
                <c:pt idx="6">
                  <c:v>46</c:v>
                </c:pt>
                <c:pt idx="7">
                  <c:v>49</c:v>
                </c:pt>
                <c:pt idx="8">
                  <c:v>50</c:v>
                </c:pt>
                <c:pt idx="9">
                  <c:v>51</c:v>
                </c:pt>
                <c:pt idx="10">
                  <c:v>52</c:v>
                </c:pt>
                <c:pt idx="11">
                  <c:v>53</c:v>
                </c:pt>
              </c:strCache>
            </c:strRef>
          </c:cat>
          <c:val>
            <c:numRef>
              <c:f>Sheet2!$C$32:$C$44</c:f>
              <c:numCache>
                <c:formatCode>General</c:formatCode>
                <c:ptCount val="12"/>
                <c:pt idx="0">
                  <c:v>4</c:v>
                </c:pt>
                <c:pt idx="1">
                  <c:v>3</c:v>
                </c:pt>
                <c:pt idx="2">
                  <c:v>2</c:v>
                </c:pt>
                <c:pt idx="3">
                  <c:v>1</c:v>
                </c:pt>
                <c:pt idx="4">
                  <c:v>1</c:v>
                </c:pt>
                <c:pt idx="5">
                  <c:v>1</c:v>
                </c:pt>
                <c:pt idx="6">
                  <c:v>2</c:v>
                </c:pt>
                <c:pt idx="7">
                  <c:v>21</c:v>
                </c:pt>
                <c:pt idx="8">
                  <c:v>25</c:v>
                </c:pt>
                <c:pt idx="9">
                  <c:v>39</c:v>
                </c:pt>
                <c:pt idx="10">
                  <c:v>42</c:v>
                </c:pt>
                <c:pt idx="11">
                  <c:v>8</c:v>
                </c:pt>
              </c:numCache>
            </c:numRef>
          </c:val>
          <c:smooth val="0"/>
          <c:extLst>
            <c:ext xmlns:c16="http://schemas.microsoft.com/office/drawing/2014/chart" uri="{C3380CC4-5D6E-409C-BE32-E72D297353CC}">
              <c16:uniqueId val="{00000001-DDC8-417F-A6DD-F122BE21F03F}"/>
            </c:ext>
          </c:extLst>
        </c:ser>
        <c:dLbls>
          <c:dLblPos val="t"/>
          <c:showLegendKey val="0"/>
          <c:showVal val="0"/>
          <c:showCatName val="0"/>
          <c:showSerName val="0"/>
          <c:showPercent val="0"/>
          <c:showBubbleSize val="0"/>
        </c:dLbls>
        <c:marker val="1"/>
        <c:smooth val="0"/>
        <c:axId val="186273919"/>
        <c:axId val="186258943"/>
      </c:lineChart>
      <c:catAx>
        <c:axId val="18627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8943"/>
        <c:crosses val="autoZero"/>
        <c:auto val="1"/>
        <c:lblAlgn val="ctr"/>
        <c:lblOffset val="100"/>
        <c:noMultiLvlLbl val="0"/>
      </c:catAx>
      <c:valAx>
        <c:axId val="18625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5 Sản phẩm Bán chạy</a:t>
            </a:r>
            <a:endParaRPr lang="en-US"/>
          </a:p>
        </c:rich>
      </c:tx>
      <c:layout>
        <c:manualLayout>
          <c:xMode val="edge"/>
          <c:yMode val="edge"/>
          <c:x val="0.28606929510155316"/>
          <c:y val="0.123642818029041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Sheet2!$B$53</c:f>
              <c:strCache>
                <c:ptCount val="1"/>
                <c:pt idx="0">
                  <c:v>Total</c:v>
                </c:pt>
              </c:strCache>
            </c:strRef>
          </c:tx>
          <c:spPr>
            <a:solidFill>
              <a:schemeClr val="accent1"/>
            </a:solidFill>
            <a:ln>
              <a:noFill/>
            </a:ln>
            <a:effectLst/>
          </c:spPr>
          <c:invertIfNegative val="0"/>
          <c:cat>
            <c:strRef>
              <c:f>Sheet2!$A$54:$A$59</c:f>
              <c:strCache>
                <c:ptCount val="5"/>
                <c:pt idx="0">
                  <c:v>Xiaomi 14</c:v>
                </c:pt>
                <c:pt idx="1">
                  <c:v>Vivo V29</c:v>
                </c:pt>
                <c:pt idx="2">
                  <c:v>iPhone 15 Pro Max</c:v>
                </c:pt>
                <c:pt idx="3">
                  <c:v>Samsung S24</c:v>
                </c:pt>
                <c:pt idx="4">
                  <c:v>iPhone 15 Pro</c:v>
                </c:pt>
              </c:strCache>
            </c:strRef>
          </c:cat>
          <c:val>
            <c:numRef>
              <c:f>Sheet2!$B$54:$B$59</c:f>
              <c:numCache>
                <c:formatCode>General</c:formatCode>
                <c:ptCount val="5"/>
                <c:pt idx="0">
                  <c:v>9</c:v>
                </c:pt>
                <c:pt idx="1">
                  <c:v>9</c:v>
                </c:pt>
                <c:pt idx="2">
                  <c:v>7</c:v>
                </c:pt>
                <c:pt idx="3">
                  <c:v>6</c:v>
                </c:pt>
                <c:pt idx="4">
                  <c:v>4</c:v>
                </c:pt>
              </c:numCache>
            </c:numRef>
          </c:val>
          <c:extLst>
            <c:ext xmlns:c16="http://schemas.microsoft.com/office/drawing/2014/chart" uri="{C3380CC4-5D6E-409C-BE32-E72D297353CC}">
              <c16:uniqueId val="{00000000-F231-476D-82CB-ADB1518BCE80}"/>
            </c:ext>
          </c:extLst>
        </c:ser>
        <c:dLbls>
          <c:showLegendKey val="0"/>
          <c:showVal val="0"/>
          <c:showCatName val="0"/>
          <c:showSerName val="0"/>
          <c:showPercent val="0"/>
          <c:showBubbleSize val="0"/>
        </c:dLbls>
        <c:gapWidth val="182"/>
        <c:axId val="304045599"/>
        <c:axId val="304046015"/>
      </c:barChart>
      <c:catAx>
        <c:axId val="30404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46015"/>
        <c:crosses val="autoZero"/>
        <c:auto val="1"/>
        <c:lblAlgn val="ctr"/>
        <c:lblOffset val="100"/>
        <c:noMultiLvlLbl val="0"/>
      </c:catAx>
      <c:valAx>
        <c:axId val="304046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4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Doanh thu theo Chi nhánh - Tháng 12/2024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Sheet2!$A$6:$A$9</c:f>
              <c:strCache>
                <c:ptCount val="3"/>
                <c:pt idx="0">
                  <c:v>Cau Giay</c:v>
                </c:pt>
                <c:pt idx="1">
                  <c:v>Long Bien</c:v>
                </c:pt>
                <c:pt idx="2">
                  <c:v>Dong Da</c:v>
                </c:pt>
              </c:strCache>
            </c:strRef>
          </c:cat>
          <c:val>
            <c:numRef>
              <c:f>Sheet2!$B$6:$B$9</c:f>
              <c:numCache>
                <c:formatCode>#,##0\ "₫"</c:formatCode>
                <c:ptCount val="3"/>
                <c:pt idx="0">
                  <c:v>1031470000</c:v>
                </c:pt>
                <c:pt idx="1">
                  <c:v>821110000</c:v>
                </c:pt>
                <c:pt idx="2">
                  <c:v>784580000</c:v>
                </c:pt>
              </c:numCache>
            </c:numRef>
          </c:val>
          <c:extLst>
            <c:ext xmlns:c16="http://schemas.microsoft.com/office/drawing/2014/chart" uri="{C3380CC4-5D6E-409C-BE32-E72D297353CC}">
              <c16:uniqueId val="{00000000-94FF-4DB8-8B72-29E78DD766F5}"/>
            </c:ext>
          </c:extLst>
        </c:ser>
        <c:dLbls>
          <c:dLblPos val="outEnd"/>
          <c:showLegendKey val="0"/>
          <c:showVal val="1"/>
          <c:showCatName val="0"/>
          <c:showSerName val="0"/>
          <c:showPercent val="0"/>
          <c:showBubbleSize val="0"/>
        </c:dLbls>
        <c:gapWidth val="219"/>
        <c:overlap val="-27"/>
        <c:axId val="186267263"/>
        <c:axId val="186253951"/>
      </c:barChart>
      <c:catAx>
        <c:axId val="18626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3951"/>
        <c:crosses val="autoZero"/>
        <c:auto val="1"/>
        <c:lblAlgn val="ctr"/>
        <c:lblOffset val="100"/>
        <c:noMultiLvlLbl val="0"/>
      </c:catAx>
      <c:valAx>
        <c:axId val="186253951"/>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Tỷ trọng Doanh thu theo Danh mục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D4-42C7-826E-B2DBBF91AC9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D4-42C7-826E-B2DBBF91AC9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5D4-42C7-826E-B2DBBF91AC9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Sheet2!$A$20:$A$21</c:f>
              <c:strCache>
                <c:ptCount val="1"/>
                <c:pt idx="0">
                  <c:v>Dien thoai</c:v>
                </c:pt>
              </c:strCache>
            </c:strRef>
          </c:cat>
          <c:val>
            <c:numRef>
              <c:f>Sheet2!$B$20:$B$21</c:f>
              <c:numCache>
                <c:formatCode>General</c:formatCode>
                <c:ptCount val="1"/>
                <c:pt idx="0">
                  <c:v>2637160000</c:v>
                </c:pt>
              </c:numCache>
            </c:numRef>
          </c:val>
          <c:extLst>
            <c:ext xmlns:c16="http://schemas.microsoft.com/office/drawing/2014/chart" uri="{C3380CC4-5D6E-409C-BE32-E72D297353CC}">
              <c16:uniqueId val="{00000006-15D4-42C7-826E-B2DBBF91AC9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400" b="0" i="0" u="none" strike="noStrike" baseline="0">
                <a:effectLst/>
              </a:rPr>
              <a:t>Xu hướng Doanh thu theo Tuần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Sheet2!$B$31</c:f>
              <c:strCache>
                <c:ptCount val="1"/>
                <c:pt idx="0">
                  <c:v>Sum of Doanh_Thu</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Sheet2!$A$32:$A$44</c:f>
              <c:strCache>
                <c:ptCount val="12"/>
                <c:pt idx="0">
                  <c:v>7</c:v>
                </c:pt>
                <c:pt idx="1">
                  <c:v>11</c:v>
                </c:pt>
                <c:pt idx="2">
                  <c:v>20</c:v>
                </c:pt>
                <c:pt idx="3">
                  <c:v>28</c:v>
                </c:pt>
                <c:pt idx="4">
                  <c:v>33</c:v>
                </c:pt>
                <c:pt idx="5">
                  <c:v>37</c:v>
                </c:pt>
                <c:pt idx="6">
                  <c:v>46</c:v>
                </c:pt>
                <c:pt idx="7">
                  <c:v>49</c:v>
                </c:pt>
                <c:pt idx="8">
                  <c:v>50</c:v>
                </c:pt>
                <c:pt idx="9">
                  <c:v>51</c:v>
                </c:pt>
                <c:pt idx="10">
                  <c:v>52</c:v>
                </c:pt>
                <c:pt idx="11">
                  <c:v>53</c:v>
                </c:pt>
              </c:strCache>
            </c:strRef>
          </c:cat>
          <c:val>
            <c:numRef>
              <c:f>Sheet2!$B$32:$B$44</c:f>
              <c:numCache>
                <c:formatCode>General</c:formatCode>
                <c:ptCount val="12"/>
                <c:pt idx="0">
                  <c:v>76980000</c:v>
                </c:pt>
                <c:pt idx="1">
                  <c:v>37500000</c:v>
                </c:pt>
                <c:pt idx="2">
                  <c:v>51980000</c:v>
                </c:pt>
                <c:pt idx="3">
                  <c:v>18990000</c:v>
                </c:pt>
                <c:pt idx="4">
                  <c:v>18990000</c:v>
                </c:pt>
                <c:pt idx="5">
                  <c:v>25990000</c:v>
                </c:pt>
                <c:pt idx="6">
                  <c:v>37980000</c:v>
                </c:pt>
                <c:pt idx="7">
                  <c:v>376790000</c:v>
                </c:pt>
                <c:pt idx="8">
                  <c:v>434750000</c:v>
                </c:pt>
                <c:pt idx="9">
                  <c:v>709180000</c:v>
                </c:pt>
                <c:pt idx="10">
                  <c:v>665600000</c:v>
                </c:pt>
                <c:pt idx="11">
                  <c:v>182430000</c:v>
                </c:pt>
              </c:numCache>
            </c:numRef>
          </c:val>
          <c:smooth val="0"/>
          <c:extLst>
            <c:ext xmlns:c16="http://schemas.microsoft.com/office/drawing/2014/chart" uri="{C3380CC4-5D6E-409C-BE32-E72D297353CC}">
              <c16:uniqueId val="{00000000-0F54-4CFE-9A8C-59DADF6CDCC0}"/>
            </c:ext>
          </c:extLst>
        </c:ser>
        <c:ser>
          <c:idx val="1"/>
          <c:order val="1"/>
          <c:tx>
            <c:strRef>
              <c:f>Sheet2!$C$31</c:f>
              <c:strCache>
                <c:ptCount val="1"/>
                <c:pt idx="0">
                  <c:v>Sum of Qty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Sheet2!$A$32:$A$44</c:f>
              <c:strCache>
                <c:ptCount val="12"/>
                <c:pt idx="0">
                  <c:v>7</c:v>
                </c:pt>
                <c:pt idx="1">
                  <c:v>11</c:v>
                </c:pt>
                <c:pt idx="2">
                  <c:v>20</c:v>
                </c:pt>
                <c:pt idx="3">
                  <c:v>28</c:v>
                </c:pt>
                <c:pt idx="4">
                  <c:v>33</c:v>
                </c:pt>
                <c:pt idx="5">
                  <c:v>37</c:v>
                </c:pt>
                <c:pt idx="6">
                  <c:v>46</c:v>
                </c:pt>
                <c:pt idx="7">
                  <c:v>49</c:v>
                </c:pt>
                <c:pt idx="8">
                  <c:v>50</c:v>
                </c:pt>
                <c:pt idx="9">
                  <c:v>51</c:v>
                </c:pt>
                <c:pt idx="10">
                  <c:v>52</c:v>
                </c:pt>
                <c:pt idx="11">
                  <c:v>53</c:v>
                </c:pt>
              </c:strCache>
            </c:strRef>
          </c:cat>
          <c:val>
            <c:numRef>
              <c:f>Sheet2!$C$32:$C$44</c:f>
              <c:numCache>
                <c:formatCode>General</c:formatCode>
                <c:ptCount val="12"/>
                <c:pt idx="0">
                  <c:v>4</c:v>
                </c:pt>
                <c:pt idx="1">
                  <c:v>3</c:v>
                </c:pt>
                <c:pt idx="2">
                  <c:v>2</c:v>
                </c:pt>
                <c:pt idx="3">
                  <c:v>1</c:v>
                </c:pt>
                <c:pt idx="4">
                  <c:v>1</c:v>
                </c:pt>
                <c:pt idx="5">
                  <c:v>1</c:v>
                </c:pt>
                <c:pt idx="6">
                  <c:v>2</c:v>
                </c:pt>
                <c:pt idx="7">
                  <c:v>21</c:v>
                </c:pt>
                <c:pt idx="8">
                  <c:v>25</c:v>
                </c:pt>
                <c:pt idx="9">
                  <c:v>39</c:v>
                </c:pt>
                <c:pt idx="10">
                  <c:v>42</c:v>
                </c:pt>
                <c:pt idx="11">
                  <c:v>8</c:v>
                </c:pt>
              </c:numCache>
            </c:numRef>
          </c:val>
          <c:smooth val="0"/>
          <c:extLst>
            <c:ext xmlns:c16="http://schemas.microsoft.com/office/drawing/2014/chart" uri="{C3380CC4-5D6E-409C-BE32-E72D297353CC}">
              <c16:uniqueId val="{00000001-0F54-4CFE-9A8C-59DADF6CDCC0}"/>
            </c:ext>
          </c:extLst>
        </c:ser>
        <c:dLbls>
          <c:showLegendKey val="0"/>
          <c:showVal val="0"/>
          <c:showCatName val="0"/>
          <c:showSerName val="0"/>
          <c:showPercent val="0"/>
          <c:showBubbleSize val="0"/>
        </c:dLbls>
        <c:marker val="1"/>
        <c:smooth val="0"/>
        <c:axId val="186273919"/>
        <c:axId val="186258943"/>
      </c:lineChart>
      <c:catAx>
        <c:axId val="18627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8943"/>
        <c:crosses val="autoZero"/>
        <c:auto val="1"/>
        <c:lblAlgn val="ctr"/>
        <c:lblOffset val="100"/>
        <c:noMultiLvlLbl val="0"/>
      </c:catAx>
      <c:valAx>
        <c:axId val="18625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[Dataset_SS12_Bai1_MobilePlus.xlsx]Sheet2!PivotTable4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5 Sản phẩm Bán chạy</a:t>
            </a:r>
            <a:endParaRPr lang="en-US"/>
          </a:p>
        </c:rich>
      </c:tx>
      <c:layout>
        <c:manualLayout>
          <c:xMode val="edge"/>
          <c:yMode val="edge"/>
          <c:x val="0.28606929510155316"/>
          <c:y val="0.123642818029041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Sheet2!$B$53</c:f>
              <c:strCache>
                <c:ptCount val="1"/>
                <c:pt idx="0">
                  <c:v>Total</c:v>
                </c:pt>
              </c:strCache>
            </c:strRef>
          </c:tx>
          <c:spPr>
            <a:solidFill>
              <a:schemeClr val="accent1"/>
            </a:solidFill>
            <a:ln>
              <a:noFill/>
            </a:ln>
            <a:effectLst/>
          </c:spPr>
          <c:invertIfNegative val="0"/>
          <c:cat>
            <c:strRef>
              <c:f>Sheet2!$A$54:$A$59</c:f>
              <c:strCache>
                <c:ptCount val="5"/>
                <c:pt idx="0">
                  <c:v>Xiaomi 14</c:v>
                </c:pt>
                <c:pt idx="1">
                  <c:v>Vivo V29</c:v>
                </c:pt>
                <c:pt idx="2">
                  <c:v>iPhone 15 Pro Max</c:v>
                </c:pt>
                <c:pt idx="3">
                  <c:v>Samsung S24</c:v>
                </c:pt>
                <c:pt idx="4">
                  <c:v>iPhone 15 Pro</c:v>
                </c:pt>
              </c:strCache>
            </c:strRef>
          </c:cat>
          <c:val>
            <c:numRef>
              <c:f>Sheet2!$B$54:$B$59</c:f>
              <c:numCache>
                <c:formatCode>General</c:formatCode>
                <c:ptCount val="5"/>
                <c:pt idx="0">
                  <c:v>9</c:v>
                </c:pt>
                <c:pt idx="1">
                  <c:v>9</c:v>
                </c:pt>
                <c:pt idx="2">
                  <c:v>7</c:v>
                </c:pt>
                <c:pt idx="3">
                  <c:v>6</c:v>
                </c:pt>
                <c:pt idx="4">
                  <c:v>4</c:v>
                </c:pt>
              </c:numCache>
            </c:numRef>
          </c:val>
          <c:extLst>
            <c:ext xmlns:c16="http://schemas.microsoft.com/office/drawing/2014/chart" uri="{C3380CC4-5D6E-409C-BE32-E72D297353CC}">
              <c16:uniqueId val="{00000000-2760-4EB2-B916-34D1E4029555}"/>
            </c:ext>
          </c:extLst>
        </c:ser>
        <c:dLbls>
          <c:showLegendKey val="0"/>
          <c:showVal val="0"/>
          <c:showCatName val="0"/>
          <c:showSerName val="0"/>
          <c:showPercent val="0"/>
          <c:showBubbleSize val="0"/>
        </c:dLbls>
        <c:gapWidth val="182"/>
        <c:axId val="304045599"/>
        <c:axId val="304046015"/>
      </c:barChart>
      <c:catAx>
        <c:axId val="30404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46015"/>
        <c:crosses val="autoZero"/>
        <c:auto val="1"/>
        <c:lblAlgn val="ctr"/>
        <c:lblOffset val="100"/>
        <c:noMultiLvlLbl val="0"/>
      </c:catAx>
      <c:valAx>
        <c:axId val="304046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4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11430</xdr:colOff>
      <xdr:row>0</xdr:row>
      <xdr:rowOff>0</xdr:rowOff>
    </xdr:from>
    <xdr:to>
      <xdr:col>12</xdr:col>
      <xdr:colOff>76200</xdr:colOff>
      <xdr:row>12</xdr:row>
      <xdr:rowOff>41910</xdr:rowOff>
    </xdr:to>
    <xdr:graphicFrame macro="">
      <xdr:nvGraphicFramePr>
        <xdr:cNvPr id="2" name="Chart 1">
          <a:extLst>
            <a:ext uri="{FF2B5EF4-FFF2-40B4-BE49-F238E27FC236}">
              <a16:creationId xmlns:a16="http://schemas.microsoft.com/office/drawing/2014/main" id="{CDDC1A63-6914-48EE-96FB-7F629FE30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13</xdr:row>
      <xdr:rowOff>129540</xdr:rowOff>
    </xdr:from>
    <xdr:to>
      <xdr:col>12</xdr:col>
      <xdr:colOff>76200</xdr:colOff>
      <xdr:row>27</xdr:row>
      <xdr:rowOff>91440</xdr:rowOff>
    </xdr:to>
    <xdr:graphicFrame macro="">
      <xdr:nvGraphicFramePr>
        <xdr:cNvPr id="3" name="Chart 2">
          <a:extLst>
            <a:ext uri="{FF2B5EF4-FFF2-40B4-BE49-F238E27FC236}">
              <a16:creationId xmlns:a16="http://schemas.microsoft.com/office/drawing/2014/main" id="{EEA748A7-5639-4F22-A832-523276C72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41910</xdr:colOff>
      <xdr:row>28</xdr:row>
      <xdr:rowOff>171450</xdr:rowOff>
    </xdr:from>
    <xdr:to>
      <xdr:col>12</xdr:col>
      <xdr:colOff>281940</xdr:colOff>
      <xdr:row>47</xdr:row>
      <xdr:rowOff>68580</xdr:rowOff>
    </xdr:to>
    <xdr:graphicFrame macro="">
      <xdr:nvGraphicFramePr>
        <xdr:cNvPr id="4" name="Chart 3">
          <a:extLst>
            <a:ext uri="{FF2B5EF4-FFF2-40B4-BE49-F238E27FC236}">
              <a16:creationId xmlns:a16="http://schemas.microsoft.com/office/drawing/2014/main" id="{247C2342-A982-4738-8770-7FE3F9637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598170</xdr:colOff>
      <xdr:row>49</xdr:row>
      <xdr:rowOff>110490</xdr:rowOff>
    </xdr:from>
    <xdr:to>
      <xdr:col>12</xdr:col>
      <xdr:colOff>152400</xdr:colOff>
      <xdr:row>64</xdr:row>
      <xdr:rowOff>91440</xdr:rowOff>
    </xdr:to>
    <xdr:graphicFrame macro="">
      <xdr:nvGraphicFramePr>
        <xdr:cNvPr id="5" name="Chart 4">
          <a:extLst>
            <a:ext uri="{FF2B5EF4-FFF2-40B4-BE49-F238E27FC236}">
              <a16:creationId xmlns:a16="http://schemas.microsoft.com/office/drawing/2014/main" id="{81254392-715E-493A-BA9E-3189F7ED7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342900</xdr:colOff>
      <xdr:row>28</xdr:row>
      <xdr:rowOff>160020</xdr:rowOff>
    </xdr:from>
    <xdr:to>
      <xdr:col>18</xdr:col>
      <xdr:colOff>243840</xdr:colOff>
      <xdr:row>45</xdr:row>
      <xdr:rowOff>30480</xdr:rowOff>
    </xdr:to>
    <mc:AlternateContent xmlns:mc="http://schemas.openxmlformats.org/markup-compatibility/2006">
      <mc:Choice xmlns:a14="http://schemas.microsoft.com/office/drawing/2010/main" Requires="a14">
        <xdr:graphicFrame macro="">
          <xdr:nvGraphicFramePr>
            <xdr:cNvPr id="7" name="Chi_Nhanh">
              <a:extLst>
                <a:ext uri="{FF2B5EF4-FFF2-40B4-BE49-F238E27FC236}">
                  <a16:creationId xmlns:a16="http://schemas.microsoft.com/office/drawing/2014/main" id="{4B0B5C01-5506-485B-8A90-FC3254FFCEE7}"/>
                </a:ext>
              </a:extLst>
            </xdr:cNvPr>
            <xdr:cNvGraphicFramePr/>
          </xdr:nvGraphicFramePr>
          <xdr:xfrm>
            <a:off x="0" y="0"/>
            <a:ext cx="0" cy="0"/>
          </xdr:xfrm>
          <a:graphic>
            <a:graphicData uri="http://schemas.microsoft.com/office/drawing/2010/slicer">
              <sle:slicer xmlns:sle="http://schemas.microsoft.com/office/drawing/2010/slicer" name="Chi_Nhanh"/>
            </a:graphicData>
          </a:graphic>
        </xdr:graphicFrame>
      </mc:Choice>
      <mc:Fallback>
        <xdr:sp macro="" textlink="">
          <xdr:nvSpPr>
            <xdr:cNvPr id="0" name=""/>
            <xdr:cNvSpPr>
              <a:spLocks noTextEdit="1"/>
            </xdr:cNvSpPr>
          </xdr:nvSpPr>
          <xdr:spPr>
            <a:xfrm>
              <a:off x="10791092" y="5083712"/>
              <a:ext cx="2362786" cy="2859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396240</xdr:colOff>
      <xdr:row>9</xdr:row>
      <xdr:rowOff>22860</xdr:rowOff>
    </xdr:from>
    <xdr:to>
      <xdr:col>18</xdr:col>
      <xdr:colOff>213360</xdr:colOff>
      <xdr:row>23</xdr:row>
      <xdr:rowOff>121920</xdr:rowOff>
    </xdr:to>
    <mc:AlternateContent xmlns:mc="http://schemas.openxmlformats.org/markup-compatibility/2006">
      <mc:Choice xmlns:a14="http://schemas.microsoft.com/office/drawing/2010/main" Requires="a14">
        <xdr:graphicFrame macro="">
          <xdr:nvGraphicFramePr>
            <xdr:cNvPr id="8" name="Danh_Muc">
              <a:extLst>
                <a:ext uri="{FF2B5EF4-FFF2-40B4-BE49-F238E27FC236}">
                  <a16:creationId xmlns:a16="http://schemas.microsoft.com/office/drawing/2014/main" id="{31C85A5F-08B9-49D9-B2C1-16A01E7D358E}"/>
                </a:ext>
              </a:extLst>
            </xdr:cNvPr>
            <xdr:cNvGraphicFramePr/>
          </xdr:nvGraphicFramePr>
          <xdr:xfrm>
            <a:off x="0" y="0"/>
            <a:ext cx="0" cy="0"/>
          </xdr:xfrm>
          <a:graphic>
            <a:graphicData uri="http://schemas.microsoft.com/office/drawing/2010/slicer">
              <sle:slicer xmlns:sle="http://schemas.microsoft.com/office/drawing/2010/slicer" name="Danh_Muc"/>
            </a:graphicData>
          </a:graphic>
        </xdr:graphicFrame>
      </mc:Choice>
      <mc:Fallback>
        <xdr:sp macro="" textlink="">
          <xdr:nvSpPr>
            <xdr:cNvPr id="0" name=""/>
            <xdr:cNvSpPr>
              <a:spLocks noTextEdit="1"/>
            </xdr:cNvSpPr>
          </xdr:nvSpPr>
          <xdr:spPr>
            <a:xfrm>
              <a:off x="10844432" y="1605475"/>
              <a:ext cx="2278966" cy="2560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383871</xdr:colOff>
      <xdr:row>3</xdr:row>
      <xdr:rowOff>168729</xdr:rowOff>
    </xdr:from>
    <xdr:to>
      <xdr:col>3</xdr:col>
      <xdr:colOff>528651</xdr:colOff>
      <xdr:row>8</xdr:row>
      <xdr:rowOff>57200</xdr:rowOff>
    </xdr:to>
    <xdr:sp macro="" textlink="">
      <xdr:nvSpPr>
        <xdr:cNvPr id="15" name="Rectangle: Rounded Corners 14">
          <a:extLst>
            <a:ext uri="{FF2B5EF4-FFF2-40B4-BE49-F238E27FC236}">
              <a16:creationId xmlns:a16="http://schemas.microsoft.com/office/drawing/2014/main" id="{87A34001-0D1E-4232-BBE7-A5E9E605A4B6}"/>
            </a:ext>
          </a:extLst>
        </xdr:cNvPr>
        <xdr:cNvSpPr/>
      </xdr:nvSpPr>
      <xdr:spPr>
        <a:xfrm>
          <a:off x="993471" y="847602"/>
          <a:ext cx="1363980" cy="789016"/>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ysClr val="windowText" lastClr="000000"/>
              </a:solidFill>
            </a:rPr>
            <a:t>TỔNG DOANH THU</a:t>
          </a:r>
          <a:endParaRPr lang="en-US">
            <a:effectLst/>
          </a:endParaRPr>
        </a:p>
        <a:p>
          <a:pPr algn="ctr"/>
          <a:r>
            <a:rPr lang="vi-VN" sz="1100" b="1" i="0">
              <a:solidFill>
                <a:sysClr val="windowText" lastClr="000000"/>
              </a:solidFill>
              <a:effectLst/>
              <a:latin typeface="+mn-lt"/>
              <a:ea typeface="+mn-ea"/>
              <a:cs typeface="+mn-cs"/>
            </a:rPr>
            <a:t> 4,291,660,000 ₫ </a:t>
          </a:r>
          <a:endParaRPr lang="en-US" b="1">
            <a:solidFill>
              <a:sysClr val="windowText" lastClr="000000"/>
            </a:solidFill>
            <a:effectLst/>
          </a:endParaRPr>
        </a:p>
        <a:p>
          <a:pPr algn="ctr"/>
          <a:endParaRPr lang="en-US" sz="1100" b="1">
            <a:solidFill>
              <a:sysClr val="windowText" lastClr="000000"/>
            </a:solidFill>
          </a:endParaRPr>
        </a:p>
      </xdr:txBody>
    </xdr:sp>
    <xdr:clientData/>
  </xdr:twoCellAnchor>
  <xdr:twoCellAnchor>
    <xdr:from>
      <xdr:col>5</xdr:col>
      <xdr:colOff>152203</xdr:colOff>
      <xdr:row>3</xdr:row>
      <xdr:rowOff>148637</xdr:rowOff>
    </xdr:from>
    <xdr:to>
      <xdr:col>7</xdr:col>
      <xdr:colOff>296983</xdr:colOff>
      <xdr:row>8</xdr:row>
      <xdr:rowOff>37108</xdr:rowOff>
    </xdr:to>
    <xdr:sp macro="" textlink="">
      <xdr:nvSpPr>
        <xdr:cNvPr id="18" name="Rectangle: Rounded Corners 17">
          <a:extLst>
            <a:ext uri="{FF2B5EF4-FFF2-40B4-BE49-F238E27FC236}">
              <a16:creationId xmlns:a16="http://schemas.microsoft.com/office/drawing/2014/main" id="{221C09BF-2162-4595-A936-FB0EC9A57D80}"/>
            </a:ext>
          </a:extLst>
        </xdr:cNvPr>
        <xdr:cNvSpPr/>
      </xdr:nvSpPr>
      <xdr:spPr>
        <a:xfrm>
          <a:off x="3200203" y="827510"/>
          <a:ext cx="1363980" cy="789016"/>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ysClr val="windowText" lastClr="000000"/>
              </a:solidFill>
            </a:rPr>
            <a:t>SỐ ĐƠN HÀNG                 </a:t>
          </a:r>
          <a:r>
            <a:rPr lang="en-US" sz="1100" b="1" i="0" u="none" strike="noStrike">
              <a:solidFill>
                <a:sysClr val="windowText" lastClr="000000"/>
              </a:solidFill>
              <a:effectLst/>
              <a:latin typeface="+mn-lt"/>
              <a:ea typeface="+mn-ea"/>
              <a:cs typeface="+mn-cs"/>
            </a:rPr>
            <a:t>280</a:t>
          </a:r>
          <a:r>
            <a:rPr lang="en-US" b="1">
              <a:solidFill>
                <a:sysClr val="windowText" lastClr="000000"/>
              </a:solidFill>
            </a:rPr>
            <a:t> </a:t>
          </a:r>
          <a:endParaRPr lang="en-US" sz="1100" b="1">
            <a:solidFill>
              <a:sysClr val="windowText" lastClr="000000"/>
            </a:solidFill>
          </a:endParaRPr>
        </a:p>
      </xdr:txBody>
    </xdr:sp>
    <xdr:clientData/>
  </xdr:twoCellAnchor>
  <xdr:twoCellAnchor>
    <xdr:from>
      <xdr:col>8</xdr:col>
      <xdr:colOff>543988</xdr:colOff>
      <xdr:row>3</xdr:row>
      <xdr:rowOff>152003</xdr:rowOff>
    </xdr:from>
    <xdr:to>
      <xdr:col>11</xdr:col>
      <xdr:colOff>79168</xdr:colOff>
      <xdr:row>8</xdr:row>
      <xdr:rowOff>40474</xdr:rowOff>
    </xdr:to>
    <xdr:sp macro="" textlink="">
      <xdr:nvSpPr>
        <xdr:cNvPr id="19" name="Rectangle: Rounded Corners 18">
          <a:extLst>
            <a:ext uri="{FF2B5EF4-FFF2-40B4-BE49-F238E27FC236}">
              <a16:creationId xmlns:a16="http://schemas.microsoft.com/office/drawing/2014/main" id="{901EB39E-4988-4671-AA84-D75EFF4C9DA1}"/>
            </a:ext>
          </a:extLst>
        </xdr:cNvPr>
        <xdr:cNvSpPr/>
      </xdr:nvSpPr>
      <xdr:spPr>
        <a:xfrm>
          <a:off x="5420788" y="837803"/>
          <a:ext cx="1363980" cy="813757"/>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ysClr val="windowText" lastClr="000000"/>
              </a:solidFill>
            </a:rPr>
            <a:t>AOV                             </a:t>
          </a:r>
          <a:r>
            <a:rPr lang="en-US" sz="1100" b="1" i="0" u="none" strike="noStrike">
              <a:solidFill>
                <a:sysClr val="windowText" lastClr="000000"/>
              </a:solidFill>
              <a:effectLst/>
              <a:latin typeface="Arial" panose="020B0604020202020204" pitchFamily="34" charset="0"/>
              <a:ea typeface="+mn-ea"/>
              <a:cs typeface="Arial" panose="020B0604020202020204" pitchFamily="34" charset="0"/>
            </a:rPr>
            <a:t>15327357</a:t>
          </a:r>
          <a:r>
            <a:rPr lang="en-US"/>
            <a:t> </a:t>
          </a:r>
          <a:endParaRPr lang="en-US" sz="1100" b="1">
            <a:solidFill>
              <a:sysClr val="windowText" lastClr="000000"/>
            </a:solidFill>
          </a:endParaRPr>
        </a:p>
      </xdr:txBody>
    </xdr:sp>
    <xdr:clientData/>
  </xdr:twoCellAnchor>
  <xdr:twoCellAnchor>
    <xdr:from>
      <xdr:col>12</xdr:col>
      <xdr:colOff>570313</xdr:colOff>
      <xdr:row>3</xdr:row>
      <xdr:rowOff>122909</xdr:rowOff>
    </xdr:from>
    <xdr:to>
      <xdr:col>15</xdr:col>
      <xdr:colOff>105493</xdr:colOff>
      <xdr:row>8</xdr:row>
      <xdr:rowOff>11380</xdr:rowOff>
    </xdr:to>
    <xdr:sp macro="" textlink="">
      <xdr:nvSpPr>
        <xdr:cNvPr id="20" name="Rectangle: Rounded Corners 19">
          <a:extLst>
            <a:ext uri="{FF2B5EF4-FFF2-40B4-BE49-F238E27FC236}">
              <a16:creationId xmlns:a16="http://schemas.microsoft.com/office/drawing/2014/main" id="{D4F4440D-7B4A-4A84-873F-84DE2D6655D5}"/>
            </a:ext>
          </a:extLst>
        </xdr:cNvPr>
        <xdr:cNvSpPr/>
      </xdr:nvSpPr>
      <xdr:spPr>
        <a:xfrm>
          <a:off x="7885513" y="801782"/>
          <a:ext cx="1363980" cy="789016"/>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b="1">
              <a:solidFill>
                <a:sysClr val="windowText" lastClr="000000"/>
              </a:solidFill>
            </a:rPr>
            <a:t>TOP SẢN PHẨM</a:t>
          </a:r>
          <a:endParaRPr lang="en-US" sz="1100" b="1">
            <a:solidFill>
              <a:sysClr val="windowText" lastClr="000000"/>
            </a:solidFill>
          </a:endParaRPr>
        </a:p>
      </xdr:txBody>
    </xdr:sp>
    <xdr:clientData/>
  </xdr:twoCellAnchor>
  <xdr:twoCellAnchor>
    <xdr:from>
      <xdr:col>0</xdr:col>
      <xdr:colOff>49480</xdr:colOff>
      <xdr:row>9</xdr:row>
      <xdr:rowOff>35725</xdr:rowOff>
    </xdr:from>
    <xdr:to>
      <xdr:col>7</xdr:col>
      <xdr:colOff>130630</xdr:colOff>
      <xdr:row>24</xdr:row>
      <xdr:rowOff>163286</xdr:rowOff>
    </xdr:to>
    <xdr:graphicFrame macro="">
      <xdr:nvGraphicFramePr>
        <xdr:cNvPr id="21" name="Chart 20">
          <a:extLst>
            <a:ext uri="{FF2B5EF4-FFF2-40B4-BE49-F238E27FC236}">
              <a16:creationId xmlns:a16="http://schemas.microsoft.com/office/drawing/2014/main" id="{DC398E65-D7BF-4D73-AB9F-9CA7C9A08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31667</xdr:colOff>
      <xdr:row>9</xdr:row>
      <xdr:rowOff>46511</xdr:rowOff>
    </xdr:from>
    <xdr:to>
      <xdr:col>15</xdr:col>
      <xdr:colOff>544286</xdr:colOff>
      <xdr:row>24</xdr:row>
      <xdr:rowOff>162295</xdr:rowOff>
    </xdr:to>
    <xdr:graphicFrame macro="">
      <xdr:nvGraphicFramePr>
        <xdr:cNvPr id="22" name="Chart 21">
          <a:extLst>
            <a:ext uri="{FF2B5EF4-FFF2-40B4-BE49-F238E27FC236}">
              <a16:creationId xmlns:a16="http://schemas.microsoft.com/office/drawing/2014/main" id="{1976E0CA-75B7-4FE5-9F1C-7D3D945CF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54429</xdr:colOff>
      <xdr:row>25</xdr:row>
      <xdr:rowOff>155369</xdr:rowOff>
    </xdr:from>
    <xdr:to>
      <xdr:col>7</xdr:col>
      <xdr:colOff>192974</xdr:colOff>
      <xdr:row>43</xdr:row>
      <xdr:rowOff>39585</xdr:rowOff>
    </xdr:to>
    <xdr:graphicFrame macro="">
      <xdr:nvGraphicFramePr>
        <xdr:cNvPr id="23" name="Chart 22">
          <a:extLst>
            <a:ext uri="{FF2B5EF4-FFF2-40B4-BE49-F238E27FC236}">
              <a16:creationId xmlns:a16="http://schemas.microsoft.com/office/drawing/2014/main" id="{3195E05F-2191-47FD-A27C-796572FB1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10886</xdr:colOff>
      <xdr:row>26</xdr:row>
      <xdr:rowOff>21771</xdr:rowOff>
    </xdr:from>
    <xdr:to>
      <xdr:col>15</xdr:col>
      <xdr:colOff>555171</xdr:colOff>
      <xdr:row>43</xdr:row>
      <xdr:rowOff>97970</xdr:rowOff>
    </xdr:to>
    <xdr:graphicFrame macro="">
      <xdr:nvGraphicFramePr>
        <xdr:cNvPr id="26" name="Chart 25">
          <a:extLst>
            <a:ext uri="{FF2B5EF4-FFF2-40B4-BE49-F238E27FC236}">
              <a16:creationId xmlns:a16="http://schemas.microsoft.com/office/drawing/2014/main" id="{FFE584CA-B647-4CC5-B97A-FC39DFFB6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409949189816" createdVersion="7" refreshedVersion="7" minRefreshableVersion="3" recordCount="280" xr:uid="{5C27BC6D-00E6-409D-BD93-A9AB0FAE5586}">
  <cacheSource type="worksheet">
    <worksheetSource name="Table1"/>
  </cacheSource>
  <cacheFields count="12">
    <cacheField name="Ma_Don" numFmtId="0">
      <sharedItems/>
    </cacheField>
    <cacheField name="Ten_Khach" numFmtId="0">
      <sharedItems/>
    </cacheField>
    <cacheField name="SDT" numFmtId="0">
      <sharedItems containsSemiMixedTypes="0" containsString="0" containsNumber="1" containsInteger="1" minValue="910344303" maxValue="999600766"/>
    </cacheField>
    <cacheField name="Price" numFmtId="0">
      <sharedItems containsSemiMixedTypes="0" containsString="0" containsNumber="1" containsInteger="1" minValue="80000" maxValue="28990000"/>
    </cacheField>
    <cacheField name="Qty" numFmtId="0">
      <sharedItems containsSemiMixedTypes="0" containsString="0" containsNumber="1" containsInteger="1" minValue="1" maxValue="5"/>
    </cacheField>
    <cacheField name="Date" numFmtId="14">
      <sharedItems containsSemiMixedTypes="0" containsNonDate="0" containsDate="1" containsString="0" minDate="2024-01-12T00:00:00" maxDate="2025-01-01T00:00:00"/>
    </cacheField>
    <cacheField name="Chi_Nhanh" numFmtId="0">
      <sharedItems count="3">
        <s v="Long Bien"/>
        <s v="Dong Da"/>
        <s v="Cau Giay"/>
      </sharedItems>
    </cacheField>
    <cacheField name="Danh_Muc" numFmtId="0">
      <sharedItems count="3">
        <s v="Dien thoai"/>
        <s v="Phu kien"/>
        <s v="May tinh bang"/>
      </sharedItems>
    </cacheField>
    <cacheField name="Ten_SP" numFmtId="0">
      <sharedItems count="25">
        <s v="Vivo V29"/>
        <s v="Op lung Samsung"/>
        <s v="OPPO Find X6"/>
        <s v="Samsung S24"/>
        <s v="Mieng dan man hinh"/>
        <s v="Xiaomi 14"/>
        <s v="iPhone 15 Pro Max"/>
        <s v="iPad Air"/>
        <s v="iPad Gen 10"/>
        <s v="Lenovo Tab M10"/>
        <s v="Tai nghe co day"/>
        <s v="Sac du phong 20000mAh"/>
        <s v="Galaxy Buds2 Pro"/>
        <s v="Samsung Tab A9"/>
        <s v="Samsung S24 Ultra"/>
        <s v="Cap sac Type-C"/>
        <s v="AirPods 3"/>
        <s v="Apple Watch SE"/>
        <s v="Realme 12 Pro"/>
        <s v="iPhone 15"/>
        <s v="Sac du phong 10000mAh"/>
        <s v="Cap sac Lightning"/>
        <s v="Xiaomi Pad 6"/>
        <s v="Tai nghe Bluetooth"/>
        <s v="iPhone 15 Pro"/>
      </sharedItems>
    </cacheField>
    <cacheField name="Doanh_Thu" numFmtId="0">
      <sharedItems containsSemiMixedTypes="0" containsString="0" containsNumber="1" containsInteger="1" minValue="80000" maxValue="57980000"/>
    </cacheField>
    <cacheField name="Tháng" numFmtId="0">
      <sharedItems containsSemiMixedTypes="0" containsString="0" containsNumber="1" containsInteger="1" minValue="1" maxValue="12"/>
    </cacheField>
    <cacheField name="Tuần" numFmtId="0">
      <sharedItems containsSemiMixedTypes="0" containsString="0" containsNumber="1" containsInteger="1" minValue="2" maxValue="53" count="15">
        <n v="52"/>
        <n v="49"/>
        <n v="46"/>
        <n v="33"/>
        <n v="51"/>
        <n v="53"/>
        <n v="7"/>
        <n v="50"/>
        <n v="11"/>
        <n v="15"/>
        <n v="2"/>
        <n v="37"/>
        <n v="20"/>
        <n v="28"/>
        <n v="41"/>
      </sharedItems>
    </cacheField>
  </cacheFields>
  <extLst>
    <ext xmlns:x14="http://schemas.microsoft.com/office/spreadsheetml/2009/9/main" uri="{725AE2AE-9491-48be-B2B4-4EB974FC3084}">
      <x14:pivotCacheDefinition pivotCacheId="334616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s v="[DH244] "/>
    <s v=" Tran Minh Uy "/>
    <n v="948824283"/>
    <n v="9990000"/>
    <n v="2"/>
    <d v="2024-12-27T00:00:00"/>
    <x v="0"/>
    <x v="0"/>
    <x v="0"/>
    <n v="19980000"/>
    <n v="12"/>
    <x v="0"/>
  </r>
  <r>
    <s v="[DH150] "/>
    <s v=" Quach Thanh Minh "/>
    <n v="930261159"/>
    <n v="350000"/>
    <n v="4"/>
    <d v="2024-12-03T00:00:00"/>
    <x v="1"/>
    <x v="1"/>
    <x v="1"/>
    <n v="1400000"/>
    <n v="12"/>
    <x v="1"/>
  </r>
  <r>
    <s v="[DH255] "/>
    <s v=" Tang Kim Lan "/>
    <n v="930456313"/>
    <n v="18990000"/>
    <n v="2"/>
    <d v="2024-11-12T00:00:00"/>
    <x v="1"/>
    <x v="0"/>
    <x v="2"/>
    <n v="37980000"/>
    <n v="11"/>
    <x v="2"/>
  </r>
  <r>
    <s v="[DH001] "/>
    <s v=" Pham Van Kien "/>
    <n v="942868828"/>
    <n v="9990000"/>
    <n v="1"/>
    <d v="2024-12-05T00:00:00"/>
    <x v="0"/>
    <x v="0"/>
    <x v="0"/>
    <n v="9990000"/>
    <n v="12"/>
    <x v="1"/>
  </r>
  <r>
    <s v="[DH024] "/>
    <s v=" Pham Van Phuc "/>
    <n v="955540424"/>
    <n v="18990000"/>
    <n v="1"/>
    <d v="2024-08-12T00:00:00"/>
    <x v="1"/>
    <x v="0"/>
    <x v="3"/>
    <n v="18990000"/>
    <n v="8"/>
    <x v="3"/>
  </r>
  <r>
    <s v="[DH225] "/>
    <s v=" Tran Van Lan "/>
    <n v="986230551"/>
    <n v="80000"/>
    <n v="3"/>
    <d v="2024-12-04T00:00:00"/>
    <x v="0"/>
    <x v="1"/>
    <x v="4"/>
    <n v="240000"/>
    <n v="12"/>
    <x v="1"/>
  </r>
  <r>
    <s v="[DH012] "/>
    <s v=" Duong Ngoc Cuong "/>
    <n v="916323852"/>
    <n v="18990000"/>
    <n v="1"/>
    <d v="2024-12-05T00:00:00"/>
    <x v="2"/>
    <x v="0"/>
    <x v="3"/>
    <n v="18990000"/>
    <n v="12"/>
    <x v="1"/>
  </r>
  <r>
    <s v="[DH029] "/>
    <s v=" Tang Ngoc Uy "/>
    <n v="981286543"/>
    <n v="15990000"/>
    <n v="1"/>
    <d v="2024-12-02T00:00:00"/>
    <x v="2"/>
    <x v="0"/>
    <x v="5"/>
    <n v="15990000"/>
    <n v="12"/>
    <x v="1"/>
  </r>
  <r>
    <s v="[DH067] "/>
    <s v=" Tang Kim Phuc "/>
    <n v="936619372"/>
    <n v="28990000"/>
    <n v="1"/>
    <d v="2024-12-19T00:00:00"/>
    <x v="1"/>
    <x v="0"/>
    <x v="6"/>
    <n v="28990000"/>
    <n v="12"/>
    <x v="4"/>
  </r>
  <r>
    <s v="[DH020] "/>
    <s v=" Pham Hong Hanh "/>
    <n v="918593410"/>
    <n v="18490000"/>
    <n v="1"/>
    <d v="2024-12-01T00:00:00"/>
    <x v="2"/>
    <x v="2"/>
    <x v="7"/>
    <n v="18490000"/>
    <n v="12"/>
    <x v="1"/>
  </r>
  <r>
    <s v="[DH163] "/>
    <s v=" Ma Hong Van "/>
    <n v="942100652"/>
    <n v="12500000"/>
    <n v="1"/>
    <d v="2024-12-31T00:00:00"/>
    <x v="0"/>
    <x v="2"/>
    <x v="8"/>
    <n v="12500000"/>
    <n v="12"/>
    <x v="5"/>
  </r>
  <r>
    <s v="[DH135] "/>
    <s v=" Ngo Kim Van "/>
    <n v="993446356"/>
    <n v="80000"/>
    <n v="5"/>
    <d v="2024-12-22T00:00:00"/>
    <x v="0"/>
    <x v="1"/>
    <x v="4"/>
    <n v="400000"/>
    <n v="12"/>
    <x v="0"/>
  </r>
  <r>
    <s v="[DH026] "/>
    <s v=" Nguyen Thi Hanh "/>
    <n v="932321899"/>
    <n v="8900000"/>
    <n v="1"/>
    <d v="2024-12-16T00:00:00"/>
    <x v="2"/>
    <x v="2"/>
    <x v="9"/>
    <n v="8900000"/>
    <n v="12"/>
    <x v="4"/>
  </r>
  <r>
    <s v="[DH141] "/>
    <s v=" Tang Ngoc Uy "/>
    <n v="999541016"/>
    <n v="12500000"/>
    <n v="2"/>
    <d v="2024-02-12T00:00:00"/>
    <x v="2"/>
    <x v="2"/>
    <x v="8"/>
    <n v="25000000"/>
    <n v="2"/>
    <x v="6"/>
  </r>
  <r>
    <s v="[DH149] "/>
    <s v=" Le Minh Tam "/>
    <n v="972270726"/>
    <n v="190000"/>
    <n v="4"/>
    <d v="2024-12-19T00:00:00"/>
    <x v="0"/>
    <x v="1"/>
    <x v="10"/>
    <n v="760000"/>
    <n v="12"/>
    <x v="4"/>
  </r>
  <r>
    <s v="[DH003] "/>
    <s v=" Do Hoang Quynh "/>
    <n v="939587039"/>
    <n v="350000"/>
    <n v="1"/>
    <d v="2024-12-19T00:00:00"/>
    <x v="1"/>
    <x v="1"/>
    <x v="1"/>
    <n v="350000"/>
    <n v="12"/>
    <x v="4"/>
  </r>
  <r>
    <s v="[DH087] "/>
    <s v=" Dinh Kim Kien "/>
    <n v="977172238"/>
    <n v="450000"/>
    <n v="1"/>
    <d v="2024-12-16T00:00:00"/>
    <x v="1"/>
    <x v="1"/>
    <x v="11"/>
    <n v="450000"/>
    <n v="12"/>
    <x v="4"/>
  </r>
  <r>
    <s v="[DH103] "/>
    <s v=" La Van Yen "/>
    <n v="919183277"/>
    <n v="9990000"/>
    <n v="2"/>
    <d v="2024-12-21T00:00:00"/>
    <x v="1"/>
    <x v="0"/>
    <x v="0"/>
    <n v="19980000"/>
    <n v="12"/>
    <x v="4"/>
  </r>
  <r>
    <s v="[DH097] "/>
    <s v=" Truong Hoang Kien "/>
    <n v="910344303"/>
    <n v="12500000"/>
    <n v="2"/>
    <d v="2024-12-24T00:00:00"/>
    <x v="1"/>
    <x v="2"/>
    <x v="8"/>
    <n v="25000000"/>
    <n v="12"/>
    <x v="0"/>
  </r>
  <r>
    <s v="[DH120] "/>
    <s v=" Ma Hong Ngoc "/>
    <n v="923335151"/>
    <n v="2990000"/>
    <n v="3"/>
    <d v="2024-12-12T00:00:00"/>
    <x v="2"/>
    <x v="1"/>
    <x v="12"/>
    <n v="8970000"/>
    <n v="12"/>
    <x v="7"/>
  </r>
  <r>
    <s v="[DH159] "/>
    <s v=" Duong Thi Quynh "/>
    <n v="978248169"/>
    <n v="9990000"/>
    <n v="2"/>
    <d v="2024-12-01T00:00:00"/>
    <x v="1"/>
    <x v="2"/>
    <x v="13"/>
    <n v="19980000"/>
    <n v="12"/>
    <x v="1"/>
  </r>
  <r>
    <s v="[DH035] "/>
    <s v=" Bui Thi Dung "/>
    <n v="984252420"/>
    <n v="25990000"/>
    <n v="1"/>
    <d v="2024-12-09T00:00:00"/>
    <x v="0"/>
    <x v="0"/>
    <x v="14"/>
    <n v="25990000"/>
    <n v="12"/>
    <x v="7"/>
  </r>
  <r>
    <s v="[DH115] "/>
    <s v=" Nguyen Duc Van "/>
    <n v="926587799"/>
    <n v="350000"/>
    <n v="3"/>
    <d v="2024-12-12T00:00:00"/>
    <x v="0"/>
    <x v="1"/>
    <x v="1"/>
    <n v="1050000"/>
    <n v="12"/>
    <x v="7"/>
  </r>
  <r>
    <s v="[DH210] "/>
    <s v=" La Ngoc Xuan "/>
    <n v="950237208"/>
    <n v="150000"/>
    <n v="3"/>
    <d v="2024-12-27T00:00:00"/>
    <x v="1"/>
    <x v="1"/>
    <x v="15"/>
    <n v="450000"/>
    <n v="12"/>
    <x v="0"/>
  </r>
  <r>
    <s v="[DH258] "/>
    <s v=" Tran Van Quynh "/>
    <n v="928453800"/>
    <n v="3990000"/>
    <n v="2"/>
    <d v="2024-08-12T00:00:00"/>
    <x v="1"/>
    <x v="1"/>
    <x v="16"/>
    <n v="7980000"/>
    <n v="8"/>
    <x v="3"/>
  </r>
  <r>
    <s v="[DH095] "/>
    <s v=" Ma Thi Em "/>
    <n v="976890827"/>
    <n v="5290000"/>
    <n v="3"/>
    <d v="2024-12-10T00:00:00"/>
    <x v="1"/>
    <x v="1"/>
    <x v="17"/>
    <n v="15870000"/>
    <n v="12"/>
    <x v="7"/>
  </r>
  <r>
    <s v="[DH123] "/>
    <s v=" Truong Minh Yen "/>
    <n v="910380581"/>
    <n v="6990000"/>
    <n v="1"/>
    <d v="2024-12-28T00:00:00"/>
    <x v="2"/>
    <x v="0"/>
    <x v="18"/>
    <n v="6990000"/>
    <n v="12"/>
    <x v="0"/>
  </r>
  <r>
    <s v="[DH196] "/>
    <s v=" Quach Thanh Xuan "/>
    <n v="915529005"/>
    <n v="12500000"/>
    <n v="2"/>
    <d v="2024-03-12T00:00:00"/>
    <x v="0"/>
    <x v="0"/>
    <x v="19"/>
    <n v="25000000"/>
    <n v="3"/>
    <x v="8"/>
  </r>
  <r>
    <s v="[DH199] "/>
    <s v=" Truong Anh Em "/>
    <n v="951954112"/>
    <n v="5290000"/>
    <n v="3"/>
    <d v="2024-12-11T00:00:00"/>
    <x v="1"/>
    <x v="1"/>
    <x v="17"/>
    <n v="15870000"/>
    <n v="12"/>
    <x v="7"/>
  </r>
  <r>
    <s v="[DH132] "/>
    <s v=" To Thi Ngoc "/>
    <n v="927463800"/>
    <n v="450000"/>
    <n v="5"/>
    <d v="2024-12-02T00:00:00"/>
    <x v="2"/>
    <x v="1"/>
    <x v="11"/>
    <n v="2250000"/>
    <n v="12"/>
    <x v="1"/>
  </r>
  <r>
    <s v="[DH093] "/>
    <s v=" Ma Van Giang "/>
    <n v="945843681"/>
    <n v="450000"/>
    <n v="4"/>
    <d v="2024-12-05T00:00:00"/>
    <x v="2"/>
    <x v="1"/>
    <x v="11"/>
    <n v="1800000"/>
    <n v="12"/>
    <x v="1"/>
  </r>
  <r>
    <s v="[DH010] "/>
    <s v=" Tang Thanh Giang "/>
    <n v="997971488"/>
    <n v="150000"/>
    <n v="4"/>
    <d v="2024-12-13T00:00:00"/>
    <x v="2"/>
    <x v="1"/>
    <x v="15"/>
    <n v="600000"/>
    <n v="12"/>
    <x v="7"/>
  </r>
  <r>
    <s v="[DH172] "/>
    <s v=" Ly Hong Xuan "/>
    <n v="965910756"/>
    <n v="15990000"/>
    <n v="1"/>
    <d v="2024-12-22T00:00:00"/>
    <x v="2"/>
    <x v="0"/>
    <x v="5"/>
    <n v="15990000"/>
    <n v="12"/>
    <x v="0"/>
  </r>
  <r>
    <s v="[DH049] "/>
    <s v=" Tang Anh Minh "/>
    <n v="972409658"/>
    <n v="350000"/>
    <n v="2"/>
    <d v="2024-12-15T00:00:00"/>
    <x v="0"/>
    <x v="1"/>
    <x v="1"/>
    <n v="700000"/>
    <n v="12"/>
    <x v="4"/>
  </r>
  <r>
    <s v="[DH121] "/>
    <s v=" Pham Ngoc Cuong "/>
    <n v="998955314"/>
    <n v="18990000"/>
    <n v="1"/>
    <d v="2024-12-21T00:00:00"/>
    <x v="2"/>
    <x v="0"/>
    <x v="2"/>
    <n v="18990000"/>
    <n v="12"/>
    <x v="4"/>
  </r>
  <r>
    <s v="[DH042] "/>
    <s v=" Ly Duc Hanh "/>
    <n v="939920292"/>
    <n v="12500000"/>
    <n v="2"/>
    <d v="2024-12-22T00:00:00"/>
    <x v="2"/>
    <x v="0"/>
    <x v="19"/>
    <n v="25000000"/>
    <n v="12"/>
    <x v="0"/>
  </r>
  <r>
    <s v="[DH280] "/>
    <s v=" Tang Hong Minh "/>
    <n v="960473288"/>
    <n v="6990000"/>
    <n v="2"/>
    <d v="2024-12-27T00:00:00"/>
    <x v="2"/>
    <x v="0"/>
    <x v="18"/>
    <n v="13980000"/>
    <n v="12"/>
    <x v="0"/>
  </r>
  <r>
    <s v="[DH161] "/>
    <s v=" Duong Van Minh "/>
    <n v="992950779"/>
    <n v="25990000"/>
    <n v="1"/>
    <d v="2024-12-20T00:00:00"/>
    <x v="0"/>
    <x v="0"/>
    <x v="14"/>
    <n v="25990000"/>
    <n v="12"/>
    <x v="4"/>
  </r>
  <r>
    <s v="[DH061] "/>
    <s v=" Cao Minh Son "/>
    <n v="927129912"/>
    <n v="80000"/>
    <n v="4"/>
    <d v="2024-12-18T00:00:00"/>
    <x v="2"/>
    <x v="1"/>
    <x v="4"/>
    <n v="320000"/>
    <n v="12"/>
    <x v="4"/>
  </r>
  <r>
    <s v="[DH007] "/>
    <s v=" Pham Kim Kien "/>
    <n v="970855700"/>
    <n v="3990000"/>
    <n v="2"/>
    <d v="2024-12-27T00:00:00"/>
    <x v="0"/>
    <x v="1"/>
    <x v="16"/>
    <n v="7980000"/>
    <n v="12"/>
    <x v="0"/>
  </r>
  <r>
    <s v="[DH033] "/>
    <s v=" Bui Minh Ngoc "/>
    <n v="919233013"/>
    <n v="9990000"/>
    <n v="1"/>
    <d v="2024-12-12T00:00:00"/>
    <x v="0"/>
    <x v="0"/>
    <x v="0"/>
    <n v="9990000"/>
    <n v="12"/>
    <x v="7"/>
  </r>
  <r>
    <s v="[DH005] "/>
    <s v=" Bui Van Son "/>
    <n v="981971316"/>
    <n v="18990000"/>
    <n v="1"/>
    <d v="2024-12-30T00:00:00"/>
    <x v="0"/>
    <x v="0"/>
    <x v="3"/>
    <n v="18990000"/>
    <n v="12"/>
    <x v="5"/>
  </r>
  <r>
    <s v="[DH234] "/>
    <s v=" Tran Hoang Uy "/>
    <n v="937133023"/>
    <n v="280000"/>
    <n v="2"/>
    <d v="2024-12-18T00:00:00"/>
    <x v="1"/>
    <x v="1"/>
    <x v="20"/>
    <n v="560000"/>
    <n v="12"/>
    <x v="4"/>
  </r>
  <r>
    <s v="[DH046] "/>
    <s v=" La Hong Ngoc "/>
    <n v="967887757"/>
    <n v="28990000"/>
    <n v="2"/>
    <d v="2024-12-31T00:00:00"/>
    <x v="2"/>
    <x v="0"/>
    <x v="6"/>
    <n v="57980000"/>
    <n v="12"/>
    <x v="5"/>
  </r>
  <r>
    <s v="[DH050] "/>
    <s v=" Vu Thi Lan "/>
    <n v="979182797"/>
    <n v="2990000"/>
    <n v="3"/>
    <d v="2024-12-21T00:00:00"/>
    <x v="2"/>
    <x v="1"/>
    <x v="12"/>
    <n v="8970000"/>
    <n v="12"/>
    <x v="4"/>
  </r>
  <r>
    <s v="[DH021] "/>
    <s v=" Tran Hong Cuong "/>
    <n v="914216175"/>
    <n v="18490000"/>
    <n v="1"/>
    <d v="2024-12-03T00:00:00"/>
    <x v="2"/>
    <x v="2"/>
    <x v="7"/>
    <n v="18490000"/>
    <n v="12"/>
    <x v="1"/>
  </r>
  <r>
    <s v="[DH140] "/>
    <s v=" Ma Kim Kien "/>
    <n v="938933176"/>
    <n v="190000"/>
    <n v="3"/>
    <d v="2024-12-17T00:00:00"/>
    <x v="0"/>
    <x v="1"/>
    <x v="10"/>
    <n v="570000"/>
    <n v="12"/>
    <x v="4"/>
  </r>
  <r>
    <s v="[DH038] "/>
    <s v=" Hoang Hoang Binh "/>
    <n v="959555330"/>
    <n v="280000"/>
    <n v="4"/>
    <d v="2024-12-18T00:00:00"/>
    <x v="1"/>
    <x v="1"/>
    <x v="20"/>
    <n v="1120000"/>
    <n v="12"/>
    <x v="4"/>
  </r>
  <r>
    <s v="[DH075] "/>
    <s v=" La Hoang Ngoc "/>
    <n v="967110154"/>
    <n v="250000"/>
    <n v="3"/>
    <d v="2024-12-18T00:00:00"/>
    <x v="1"/>
    <x v="1"/>
    <x v="21"/>
    <n v="750000"/>
    <n v="12"/>
    <x v="4"/>
  </r>
  <r>
    <s v="[DH268] "/>
    <s v=" Cao Minh Cuong "/>
    <n v="977215278"/>
    <n v="250000"/>
    <n v="1"/>
    <d v="2024-12-12T00:00:00"/>
    <x v="2"/>
    <x v="1"/>
    <x v="21"/>
    <n v="250000"/>
    <n v="12"/>
    <x v="7"/>
  </r>
  <r>
    <s v="[DH278] "/>
    <s v=" Quach Kim Minh "/>
    <n v="969085720"/>
    <n v="18490000"/>
    <n v="1"/>
    <d v="2024-12-14T00:00:00"/>
    <x v="0"/>
    <x v="2"/>
    <x v="7"/>
    <n v="18490000"/>
    <n v="12"/>
    <x v="7"/>
  </r>
  <r>
    <s v="[DH277] "/>
    <s v=" Chau Anh Yen "/>
    <n v="936246038"/>
    <n v="350000"/>
    <n v="3"/>
    <d v="2024-04-12T00:00:00"/>
    <x v="1"/>
    <x v="1"/>
    <x v="1"/>
    <n v="1050000"/>
    <n v="4"/>
    <x v="9"/>
  </r>
  <r>
    <s v="[DH147] "/>
    <s v=" Truong Hong Minh "/>
    <n v="932566390"/>
    <n v="28990000"/>
    <n v="1"/>
    <d v="2024-12-17T00:00:00"/>
    <x v="1"/>
    <x v="0"/>
    <x v="6"/>
    <n v="28990000"/>
    <n v="12"/>
    <x v="4"/>
  </r>
  <r>
    <s v="[DH127] "/>
    <s v=" Tran Ngoc Phuc "/>
    <n v="967213476"/>
    <n v="2990000"/>
    <n v="4"/>
    <d v="2024-12-04T00:00:00"/>
    <x v="1"/>
    <x v="1"/>
    <x v="12"/>
    <n v="11960000"/>
    <n v="12"/>
    <x v="1"/>
  </r>
  <r>
    <s v="[DH052] "/>
    <s v=" Ma Kim Xuan "/>
    <n v="936096655"/>
    <n v="5290000"/>
    <n v="4"/>
    <d v="2024-12-23T00:00:00"/>
    <x v="0"/>
    <x v="1"/>
    <x v="17"/>
    <n v="21160000"/>
    <n v="12"/>
    <x v="0"/>
  </r>
  <r>
    <s v="[DH259] "/>
    <s v=" Ly Van Yen "/>
    <n v="995594482"/>
    <n v="2990000"/>
    <n v="4"/>
    <d v="2024-12-30T00:00:00"/>
    <x v="2"/>
    <x v="1"/>
    <x v="12"/>
    <n v="11960000"/>
    <n v="12"/>
    <x v="5"/>
  </r>
  <r>
    <s v="[DH051] "/>
    <s v=" Dinh Hong Giang "/>
    <n v="929777514"/>
    <n v="12500000"/>
    <n v="2"/>
    <d v="2024-02-12T00:00:00"/>
    <x v="2"/>
    <x v="0"/>
    <x v="19"/>
    <n v="25000000"/>
    <n v="2"/>
    <x v="6"/>
  </r>
  <r>
    <s v="[DH165] "/>
    <s v=" Bui Van Tam "/>
    <n v="959823245"/>
    <n v="450000"/>
    <n v="5"/>
    <d v="2024-12-30T00:00:00"/>
    <x v="2"/>
    <x v="1"/>
    <x v="11"/>
    <n v="2250000"/>
    <n v="12"/>
    <x v="5"/>
  </r>
  <r>
    <s v="[DH175] "/>
    <s v=" Hoang Van Ngoc "/>
    <n v="983284724"/>
    <n v="18490000"/>
    <n v="1"/>
    <d v="2024-12-27T00:00:00"/>
    <x v="0"/>
    <x v="2"/>
    <x v="7"/>
    <n v="18490000"/>
    <n v="12"/>
    <x v="0"/>
  </r>
  <r>
    <s v="[DH009] "/>
    <s v=" La Hong Minh "/>
    <n v="917507864"/>
    <n v="9990000"/>
    <n v="2"/>
    <d v="2024-12-27T00:00:00"/>
    <x v="2"/>
    <x v="0"/>
    <x v="0"/>
    <n v="19980000"/>
    <n v="12"/>
    <x v="0"/>
  </r>
  <r>
    <s v="[DH040] "/>
    <s v=" Hoang Hong Phuong "/>
    <n v="933763566"/>
    <n v="8900000"/>
    <n v="2"/>
    <d v="2024-01-12T00:00:00"/>
    <x v="0"/>
    <x v="2"/>
    <x v="9"/>
    <n v="17800000"/>
    <n v="1"/>
    <x v="10"/>
  </r>
  <r>
    <s v="[DH254] "/>
    <s v=" Truong Kim Binh "/>
    <n v="985500790"/>
    <n v="9990000"/>
    <n v="1"/>
    <d v="2024-12-24T00:00:00"/>
    <x v="0"/>
    <x v="0"/>
    <x v="0"/>
    <n v="9990000"/>
    <n v="12"/>
    <x v="0"/>
  </r>
  <r>
    <s v="[DH047] "/>
    <s v=" Dinh Hoang Lan "/>
    <n v="999508850"/>
    <n v="8900000"/>
    <n v="2"/>
    <d v="2024-12-11T00:00:00"/>
    <x v="1"/>
    <x v="2"/>
    <x v="9"/>
    <n v="17800000"/>
    <n v="12"/>
    <x v="7"/>
  </r>
  <r>
    <s v="[DH112] "/>
    <s v=" Tang Thanh Em "/>
    <n v="922097496"/>
    <n v="12500000"/>
    <n v="2"/>
    <d v="2024-12-11T00:00:00"/>
    <x v="0"/>
    <x v="2"/>
    <x v="8"/>
    <n v="25000000"/>
    <n v="12"/>
    <x v="7"/>
  </r>
  <r>
    <s v="[DH180] "/>
    <s v=" To Thi Quynh "/>
    <n v="990859912"/>
    <n v="15990000"/>
    <n v="2"/>
    <d v="2024-12-18T00:00:00"/>
    <x v="0"/>
    <x v="0"/>
    <x v="5"/>
    <n v="31980000"/>
    <n v="12"/>
    <x v="4"/>
  </r>
  <r>
    <s v="[DH044] "/>
    <s v=" Vu Anh Kien "/>
    <n v="915134794"/>
    <n v="18990000"/>
    <n v="2"/>
    <d v="2024-12-20T00:00:00"/>
    <x v="1"/>
    <x v="0"/>
    <x v="3"/>
    <n v="37980000"/>
    <n v="12"/>
    <x v="4"/>
  </r>
  <r>
    <s v="[DH016] "/>
    <s v=" Hoang Thanh Phuong "/>
    <n v="982394227"/>
    <n v="190000"/>
    <n v="1"/>
    <d v="2024-12-30T00:00:00"/>
    <x v="2"/>
    <x v="1"/>
    <x v="10"/>
    <n v="190000"/>
    <n v="12"/>
    <x v="5"/>
  </r>
  <r>
    <s v="[DH145] "/>
    <s v=" To Duc Dung "/>
    <n v="964362516"/>
    <n v="12500000"/>
    <n v="1"/>
    <d v="2024-12-31T00:00:00"/>
    <x v="0"/>
    <x v="0"/>
    <x v="19"/>
    <n v="12500000"/>
    <n v="12"/>
    <x v="5"/>
  </r>
  <r>
    <s v="[DH227] "/>
    <s v=" Bui Minh An "/>
    <n v="955246430"/>
    <n v="12500000"/>
    <n v="1"/>
    <d v="2024-12-19T00:00:00"/>
    <x v="0"/>
    <x v="2"/>
    <x v="8"/>
    <n v="12500000"/>
    <n v="12"/>
    <x v="4"/>
  </r>
  <r>
    <s v="[DH137] "/>
    <s v=" Tang Kim Cuong "/>
    <n v="929042093"/>
    <n v="250000"/>
    <n v="1"/>
    <d v="2024-12-21T00:00:00"/>
    <x v="1"/>
    <x v="1"/>
    <x v="21"/>
    <n v="250000"/>
    <n v="12"/>
    <x v="4"/>
  </r>
  <r>
    <s v="[DH034] "/>
    <s v=" Dinh Anh Uy "/>
    <n v="911049999"/>
    <n v="2990000"/>
    <n v="3"/>
    <d v="2024-12-27T00:00:00"/>
    <x v="2"/>
    <x v="1"/>
    <x v="12"/>
    <n v="8970000"/>
    <n v="12"/>
    <x v="0"/>
  </r>
  <r>
    <s v="[DH058] "/>
    <s v=" Le Kim Quynh "/>
    <n v="954410148"/>
    <n v="450000"/>
    <n v="1"/>
    <d v="2024-12-15T00:00:00"/>
    <x v="1"/>
    <x v="1"/>
    <x v="11"/>
    <n v="450000"/>
    <n v="12"/>
    <x v="4"/>
  </r>
  <r>
    <s v="[DH226] "/>
    <s v=" Duong Ngoc Em "/>
    <n v="977674279"/>
    <n v="350000"/>
    <n v="1"/>
    <d v="2024-09-12T00:00:00"/>
    <x v="1"/>
    <x v="1"/>
    <x v="1"/>
    <n v="350000"/>
    <n v="9"/>
    <x v="11"/>
  </r>
  <r>
    <s v="[DH039] "/>
    <s v=" Tran Thanh Giang "/>
    <n v="943491314"/>
    <n v="2990000"/>
    <n v="5"/>
    <d v="2024-12-04T00:00:00"/>
    <x v="0"/>
    <x v="1"/>
    <x v="12"/>
    <n v="14950000"/>
    <n v="12"/>
    <x v="1"/>
  </r>
  <r>
    <s v="[DH032] "/>
    <s v=" Dinh Ngoc Minh "/>
    <n v="919736572"/>
    <n v="12500000"/>
    <n v="1"/>
    <d v="2024-12-15T00:00:00"/>
    <x v="0"/>
    <x v="0"/>
    <x v="19"/>
    <n v="12500000"/>
    <n v="12"/>
    <x v="4"/>
  </r>
  <r>
    <s v="[DH129] "/>
    <s v=" Dinh Ngoc Uy "/>
    <n v="991259008"/>
    <n v="8900000"/>
    <n v="1"/>
    <d v="2024-12-04T00:00:00"/>
    <x v="0"/>
    <x v="2"/>
    <x v="9"/>
    <n v="8900000"/>
    <n v="12"/>
    <x v="1"/>
  </r>
  <r>
    <s v="[DH186] "/>
    <s v=" Vu Ngoc Uy "/>
    <n v="961940566"/>
    <n v="450000"/>
    <n v="3"/>
    <d v="2024-12-04T00:00:00"/>
    <x v="0"/>
    <x v="1"/>
    <x v="11"/>
    <n v="1350000"/>
    <n v="12"/>
    <x v="1"/>
  </r>
  <r>
    <s v="[DH219] "/>
    <s v=" Le Thanh Son "/>
    <n v="998043078"/>
    <n v="6990000"/>
    <n v="1"/>
    <d v="2024-12-24T00:00:00"/>
    <x v="1"/>
    <x v="0"/>
    <x v="18"/>
    <n v="6990000"/>
    <n v="12"/>
    <x v="0"/>
  </r>
  <r>
    <s v="[DH083] "/>
    <s v=" Quach Thi Giang "/>
    <n v="993955206"/>
    <n v="18990000"/>
    <n v="1"/>
    <d v="2024-12-09T00:00:00"/>
    <x v="0"/>
    <x v="0"/>
    <x v="2"/>
    <n v="18990000"/>
    <n v="12"/>
    <x v="7"/>
  </r>
  <r>
    <s v="[DH002] "/>
    <s v=" Le Anh Quynh "/>
    <n v="914265799"/>
    <n v="12500000"/>
    <n v="1"/>
    <d v="2024-03-12T00:00:00"/>
    <x v="0"/>
    <x v="0"/>
    <x v="19"/>
    <n v="12500000"/>
    <n v="3"/>
    <x v="8"/>
  </r>
  <r>
    <s v="[DH223] "/>
    <s v=" Truong Duc Binh "/>
    <n v="922007214"/>
    <n v="3990000"/>
    <n v="5"/>
    <d v="2024-12-19T00:00:00"/>
    <x v="2"/>
    <x v="1"/>
    <x v="16"/>
    <n v="19950000"/>
    <n v="12"/>
    <x v="4"/>
  </r>
  <r>
    <s v="[DH209] "/>
    <s v=" Truong Anh Minh "/>
    <n v="931810655"/>
    <n v="8990000"/>
    <n v="2"/>
    <d v="2024-12-20T00:00:00"/>
    <x v="0"/>
    <x v="2"/>
    <x v="22"/>
    <n v="17980000"/>
    <n v="12"/>
    <x v="4"/>
  </r>
  <r>
    <s v="[DH183] "/>
    <s v=" Duong Minh An "/>
    <n v="929163535"/>
    <n v="80000"/>
    <n v="1"/>
    <d v="2024-12-22T00:00:00"/>
    <x v="0"/>
    <x v="1"/>
    <x v="4"/>
    <n v="80000"/>
    <n v="12"/>
    <x v="0"/>
  </r>
  <r>
    <s v="[DH070] "/>
    <s v=" Duong Duc Yen "/>
    <n v="982232344"/>
    <n v="190000"/>
    <n v="4"/>
    <d v="2024-12-16T00:00:00"/>
    <x v="1"/>
    <x v="1"/>
    <x v="10"/>
    <n v="760000"/>
    <n v="12"/>
    <x v="4"/>
  </r>
  <r>
    <s v="[DH154] "/>
    <s v=" Ma Thi Minh "/>
    <n v="921318464"/>
    <n v="890000"/>
    <n v="1"/>
    <d v="2024-12-21T00:00:00"/>
    <x v="1"/>
    <x v="1"/>
    <x v="23"/>
    <n v="890000"/>
    <n v="12"/>
    <x v="4"/>
  </r>
  <r>
    <s v="[DH089] "/>
    <s v=" Tran Minh Tam "/>
    <n v="979654147"/>
    <n v="3990000"/>
    <n v="2"/>
    <d v="2024-12-15T00:00:00"/>
    <x v="1"/>
    <x v="1"/>
    <x v="16"/>
    <n v="7980000"/>
    <n v="12"/>
    <x v="4"/>
  </r>
  <r>
    <s v="[DH239] "/>
    <s v=" Ma Kim Phuc "/>
    <n v="920770971"/>
    <n v="2990000"/>
    <n v="5"/>
    <d v="2024-12-31T00:00:00"/>
    <x v="1"/>
    <x v="1"/>
    <x v="12"/>
    <n v="14950000"/>
    <n v="12"/>
    <x v="5"/>
  </r>
  <r>
    <s v="[DH015] "/>
    <s v=" Bui Hoang Phuong "/>
    <n v="978139880"/>
    <n v="18990000"/>
    <n v="2"/>
    <d v="2024-12-28T00:00:00"/>
    <x v="2"/>
    <x v="0"/>
    <x v="3"/>
    <n v="37980000"/>
    <n v="12"/>
    <x v="0"/>
  </r>
  <r>
    <s v="[DH066] "/>
    <s v=" Vu Anh Yen "/>
    <n v="925372341"/>
    <n v="190000"/>
    <n v="3"/>
    <d v="2024-12-27T00:00:00"/>
    <x v="1"/>
    <x v="1"/>
    <x v="10"/>
    <n v="570000"/>
    <n v="12"/>
    <x v="0"/>
  </r>
  <r>
    <s v="[DH071] "/>
    <s v=" Ngo Thi Kien "/>
    <n v="970505620"/>
    <n v="9990000"/>
    <n v="2"/>
    <d v="2024-12-25T00:00:00"/>
    <x v="1"/>
    <x v="0"/>
    <x v="0"/>
    <n v="19980000"/>
    <n v="12"/>
    <x v="0"/>
  </r>
  <r>
    <s v="[DH242] "/>
    <s v=" Do Thi Binh "/>
    <n v="998610233"/>
    <n v="8900000"/>
    <n v="1"/>
    <d v="2024-12-20T00:00:00"/>
    <x v="0"/>
    <x v="2"/>
    <x v="9"/>
    <n v="8900000"/>
    <n v="12"/>
    <x v="4"/>
  </r>
  <r>
    <s v="[DH106] "/>
    <s v=" Cao Anh Hanh "/>
    <n v="976795767"/>
    <n v="280000"/>
    <n v="4"/>
    <d v="2024-05-12T00:00:00"/>
    <x v="1"/>
    <x v="1"/>
    <x v="20"/>
    <n v="1120000"/>
    <n v="5"/>
    <x v="12"/>
  </r>
  <r>
    <s v="[DH059] "/>
    <s v=" Tang Van Xuan "/>
    <n v="961053877"/>
    <n v="150000"/>
    <n v="3"/>
    <d v="2024-12-01T00:00:00"/>
    <x v="1"/>
    <x v="1"/>
    <x v="15"/>
    <n v="450000"/>
    <n v="12"/>
    <x v="1"/>
  </r>
  <r>
    <s v="[DH198] "/>
    <s v=" Cao Duc Son "/>
    <n v="919794273"/>
    <n v="5290000"/>
    <n v="4"/>
    <d v="2024-02-12T00:00:00"/>
    <x v="2"/>
    <x v="1"/>
    <x v="17"/>
    <n v="21160000"/>
    <n v="2"/>
    <x v="6"/>
  </r>
  <r>
    <s v="[DH146] "/>
    <s v=" Ly Thi Quynh "/>
    <n v="924208709"/>
    <n v="9990000"/>
    <n v="2"/>
    <d v="2024-12-14T00:00:00"/>
    <x v="1"/>
    <x v="0"/>
    <x v="0"/>
    <n v="19980000"/>
    <n v="12"/>
    <x v="7"/>
  </r>
  <r>
    <s v="[DH069] "/>
    <s v=" Nguyen Kim Tam "/>
    <n v="924165187"/>
    <n v="8900000"/>
    <n v="2"/>
    <d v="2024-12-31T00:00:00"/>
    <x v="2"/>
    <x v="2"/>
    <x v="9"/>
    <n v="17800000"/>
    <n v="12"/>
    <x v="5"/>
  </r>
  <r>
    <s v="[DH204] "/>
    <s v=" Chau Duc Van "/>
    <n v="911097552"/>
    <n v="18990000"/>
    <n v="2"/>
    <d v="2024-12-14T00:00:00"/>
    <x v="1"/>
    <x v="0"/>
    <x v="3"/>
    <n v="37980000"/>
    <n v="12"/>
    <x v="7"/>
  </r>
  <r>
    <s v="[DH249] "/>
    <s v=" Truong Thi Son "/>
    <n v="959805178"/>
    <n v="28990000"/>
    <n v="1"/>
    <d v="2024-12-18T00:00:00"/>
    <x v="0"/>
    <x v="0"/>
    <x v="6"/>
    <n v="28990000"/>
    <n v="12"/>
    <x v="4"/>
  </r>
  <r>
    <s v="[DH019] "/>
    <s v=" To Hong Van "/>
    <n v="936998038"/>
    <n v="5290000"/>
    <n v="3"/>
    <d v="2024-12-10T00:00:00"/>
    <x v="1"/>
    <x v="1"/>
    <x v="17"/>
    <n v="15870000"/>
    <n v="12"/>
    <x v="7"/>
  </r>
  <r>
    <s v="[DH098] "/>
    <s v=" Ly Thanh Van "/>
    <n v="982937948"/>
    <n v="8990000"/>
    <n v="1"/>
    <d v="2024-12-15T00:00:00"/>
    <x v="1"/>
    <x v="2"/>
    <x v="22"/>
    <n v="8990000"/>
    <n v="12"/>
    <x v="4"/>
  </r>
  <r>
    <s v="[DH197] "/>
    <s v=" To Anh An "/>
    <n v="976845536"/>
    <n v="3990000"/>
    <n v="3"/>
    <d v="2024-12-18T00:00:00"/>
    <x v="0"/>
    <x v="1"/>
    <x v="16"/>
    <n v="11970000"/>
    <n v="12"/>
    <x v="4"/>
  </r>
  <r>
    <s v="[DH004] "/>
    <s v=" Bui Minh Giang "/>
    <n v="955176955"/>
    <n v="18990000"/>
    <n v="1"/>
    <d v="2024-12-03T00:00:00"/>
    <x v="0"/>
    <x v="0"/>
    <x v="3"/>
    <n v="18990000"/>
    <n v="12"/>
    <x v="1"/>
  </r>
  <r>
    <s v="[DH073] "/>
    <s v=" Le Hong Quynh "/>
    <n v="975575808"/>
    <n v="450000"/>
    <n v="4"/>
    <d v="2024-12-25T00:00:00"/>
    <x v="1"/>
    <x v="1"/>
    <x v="11"/>
    <n v="1800000"/>
    <n v="12"/>
    <x v="0"/>
  </r>
  <r>
    <s v="[DH011] "/>
    <s v=" La Hoang Kien "/>
    <n v="988461803"/>
    <n v="8900000"/>
    <n v="2"/>
    <d v="2024-12-29T00:00:00"/>
    <x v="2"/>
    <x v="2"/>
    <x v="9"/>
    <n v="17800000"/>
    <n v="12"/>
    <x v="5"/>
  </r>
  <r>
    <s v="[DH155] "/>
    <s v=" Duong Hoang Yen "/>
    <n v="931306555"/>
    <n v="9990000"/>
    <n v="2"/>
    <d v="2024-12-12T00:00:00"/>
    <x v="0"/>
    <x v="2"/>
    <x v="13"/>
    <n v="19980000"/>
    <n v="12"/>
    <x v="7"/>
  </r>
  <r>
    <s v="[DH267] "/>
    <s v=" Cao Thi Lan "/>
    <n v="931803703"/>
    <n v="280000"/>
    <n v="4"/>
    <d v="2024-12-08T00:00:00"/>
    <x v="1"/>
    <x v="1"/>
    <x v="20"/>
    <n v="1120000"/>
    <n v="12"/>
    <x v="7"/>
  </r>
  <r>
    <s v="[DH057] "/>
    <s v=" Truong Thanh Van "/>
    <n v="920814950"/>
    <n v="25990000"/>
    <n v="2"/>
    <d v="2024-05-12T00:00:00"/>
    <x v="2"/>
    <x v="0"/>
    <x v="14"/>
    <n v="51980000"/>
    <n v="5"/>
    <x v="12"/>
  </r>
  <r>
    <s v="[DH143] "/>
    <s v=" Hoang Kim Van "/>
    <n v="940884937"/>
    <n v="890000"/>
    <n v="3"/>
    <d v="2024-12-18T00:00:00"/>
    <x v="0"/>
    <x v="1"/>
    <x v="23"/>
    <n v="2670000"/>
    <n v="12"/>
    <x v="4"/>
  </r>
  <r>
    <s v="[DH160] "/>
    <s v=" Chau Hong Hanh "/>
    <n v="928463709"/>
    <n v="25990000"/>
    <n v="1"/>
    <d v="2024-12-03T00:00:00"/>
    <x v="0"/>
    <x v="0"/>
    <x v="14"/>
    <n v="25990000"/>
    <n v="12"/>
    <x v="1"/>
  </r>
  <r>
    <s v="[DH256] "/>
    <s v=" La Thanh Kien "/>
    <n v="975581613"/>
    <n v="250000"/>
    <n v="4"/>
    <d v="2024-12-21T00:00:00"/>
    <x v="1"/>
    <x v="1"/>
    <x v="21"/>
    <n v="1000000"/>
    <n v="12"/>
    <x v="4"/>
  </r>
  <r>
    <s v="[DH232] "/>
    <s v=" Hoang Ngoc Em "/>
    <n v="971066203"/>
    <n v="250000"/>
    <n v="4"/>
    <d v="2024-12-20T00:00:00"/>
    <x v="1"/>
    <x v="1"/>
    <x v="21"/>
    <n v="1000000"/>
    <n v="12"/>
    <x v="4"/>
  </r>
  <r>
    <s v="[DH030] "/>
    <s v=" Ngo Kim Dung "/>
    <n v="986460539"/>
    <n v="9990000"/>
    <n v="1"/>
    <d v="2024-12-19T00:00:00"/>
    <x v="0"/>
    <x v="0"/>
    <x v="0"/>
    <n v="9990000"/>
    <n v="12"/>
    <x v="4"/>
  </r>
  <r>
    <s v="[DH233] "/>
    <s v=" La Hong Hanh "/>
    <n v="989968863"/>
    <n v="28990000"/>
    <n v="2"/>
    <d v="2024-12-17T00:00:00"/>
    <x v="2"/>
    <x v="0"/>
    <x v="6"/>
    <n v="57980000"/>
    <n v="12"/>
    <x v="4"/>
  </r>
  <r>
    <s v="[DH064] "/>
    <s v=" Ly Hong Cuong "/>
    <n v="997477029"/>
    <n v="22990000"/>
    <n v="1"/>
    <d v="2024-12-25T00:00:00"/>
    <x v="0"/>
    <x v="0"/>
    <x v="24"/>
    <n v="22990000"/>
    <n v="12"/>
    <x v="0"/>
  </r>
  <r>
    <s v="[DH176] "/>
    <s v=" Chau Minh Em "/>
    <n v="918469210"/>
    <n v="5290000"/>
    <n v="1"/>
    <d v="2024-12-25T00:00:00"/>
    <x v="2"/>
    <x v="1"/>
    <x v="17"/>
    <n v="5290000"/>
    <n v="12"/>
    <x v="0"/>
  </r>
  <r>
    <s v="[DH065] "/>
    <s v=" Hoang Hong Em "/>
    <n v="973560289"/>
    <n v="2990000"/>
    <n v="2"/>
    <d v="2024-12-04T00:00:00"/>
    <x v="1"/>
    <x v="1"/>
    <x v="12"/>
    <n v="5980000"/>
    <n v="12"/>
    <x v="1"/>
  </r>
  <r>
    <s v="[DH184] "/>
    <s v=" Ly Thanh Phuc "/>
    <n v="986134287"/>
    <n v="22990000"/>
    <n v="2"/>
    <d v="2024-12-20T00:00:00"/>
    <x v="2"/>
    <x v="0"/>
    <x v="24"/>
    <n v="45980000"/>
    <n v="12"/>
    <x v="4"/>
  </r>
  <r>
    <s v="[DH105] "/>
    <s v=" Ly Thanh Quynh "/>
    <n v="929538047"/>
    <n v="9990000"/>
    <n v="1"/>
    <d v="2024-12-17T00:00:00"/>
    <x v="0"/>
    <x v="0"/>
    <x v="0"/>
    <n v="9990000"/>
    <n v="12"/>
    <x v="4"/>
  </r>
  <r>
    <s v="[DH235] "/>
    <s v=" Pham Hong Xuan "/>
    <n v="975609379"/>
    <n v="28990000"/>
    <n v="2"/>
    <d v="2024-12-29T00:00:00"/>
    <x v="0"/>
    <x v="0"/>
    <x v="6"/>
    <n v="57980000"/>
    <n v="12"/>
    <x v="5"/>
  </r>
  <r>
    <s v="[DH265] "/>
    <s v=" Duong Van Hanh "/>
    <n v="938375916"/>
    <n v="5290000"/>
    <n v="4"/>
    <d v="2024-12-29T00:00:00"/>
    <x v="2"/>
    <x v="1"/>
    <x v="17"/>
    <n v="21160000"/>
    <n v="12"/>
    <x v="5"/>
  </r>
  <r>
    <s v="[DH214] "/>
    <s v=" To Hoang Yen "/>
    <n v="973297813"/>
    <n v="250000"/>
    <n v="2"/>
    <d v="2024-12-24T00:00:00"/>
    <x v="1"/>
    <x v="1"/>
    <x v="21"/>
    <n v="500000"/>
    <n v="12"/>
    <x v="0"/>
  </r>
  <r>
    <s v="[DH188] "/>
    <s v=" Le Thanh Ngoc "/>
    <n v="918715975"/>
    <n v="450000"/>
    <n v="3"/>
    <d v="2024-12-18T00:00:00"/>
    <x v="0"/>
    <x v="1"/>
    <x v="11"/>
    <n v="1350000"/>
    <n v="12"/>
    <x v="4"/>
  </r>
  <r>
    <s v="[DH253] "/>
    <s v=" Dinh Duc Ngoc "/>
    <n v="978829070"/>
    <n v="150000"/>
    <n v="4"/>
    <d v="2024-12-15T00:00:00"/>
    <x v="1"/>
    <x v="1"/>
    <x v="15"/>
    <n v="600000"/>
    <n v="12"/>
    <x v="4"/>
  </r>
  <r>
    <s v="[DH092] "/>
    <s v=" Duong Van Van "/>
    <n v="972005415"/>
    <n v="8900000"/>
    <n v="2"/>
    <d v="2024-02-12T00:00:00"/>
    <x v="0"/>
    <x v="2"/>
    <x v="9"/>
    <n v="17800000"/>
    <n v="2"/>
    <x v="6"/>
  </r>
  <r>
    <s v="[DH014] "/>
    <s v=" La Duc Minh "/>
    <n v="924972279"/>
    <n v="12500000"/>
    <n v="2"/>
    <d v="2024-12-14T00:00:00"/>
    <x v="0"/>
    <x v="2"/>
    <x v="8"/>
    <n v="25000000"/>
    <n v="12"/>
    <x v="7"/>
  </r>
  <r>
    <s v="[DH264] "/>
    <s v=" Chau Van An "/>
    <n v="933002714"/>
    <n v="28990000"/>
    <n v="2"/>
    <d v="2024-12-16T00:00:00"/>
    <x v="2"/>
    <x v="0"/>
    <x v="6"/>
    <n v="57980000"/>
    <n v="12"/>
    <x v="4"/>
  </r>
  <r>
    <s v="[DH167] "/>
    <s v=" Tran Kim Uy "/>
    <n v="960192261"/>
    <n v="9990000"/>
    <n v="2"/>
    <d v="2024-12-13T00:00:00"/>
    <x v="2"/>
    <x v="0"/>
    <x v="0"/>
    <n v="19980000"/>
    <n v="12"/>
    <x v="7"/>
  </r>
  <r>
    <s v="[DH139] "/>
    <s v=" Hoang Minh Yen "/>
    <n v="916679008"/>
    <n v="2990000"/>
    <n v="4"/>
    <d v="2024-12-03T00:00:00"/>
    <x v="0"/>
    <x v="1"/>
    <x v="12"/>
    <n v="11960000"/>
    <n v="12"/>
    <x v="1"/>
  </r>
  <r>
    <s v="[DH211] "/>
    <s v=" Tang Duc An "/>
    <n v="990115852"/>
    <n v="150000"/>
    <n v="5"/>
    <d v="2024-12-09T00:00:00"/>
    <x v="2"/>
    <x v="1"/>
    <x v="15"/>
    <n v="750000"/>
    <n v="12"/>
    <x v="7"/>
  </r>
  <r>
    <s v="[DH074] "/>
    <s v=" Nguyen Thi Lan "/>
    <n v="939742165"/>
    <n v="8990000"/>
    <n v="2"/>
    <d v="2024-12-23T00:00:00"/>
    <x v="1"/>
    <x v="2"/>
    <x v="22"/>
    <n v="17980000"/>
    <n v="12"/>
    <x v="0"/>
  </r>
  <r>
    <s v="[DH171] "/>
    <s v=" Quach Hoang An "/>
    <n v="994819556"/>
    <n v="890000"/>
    <n v="2"/>
    <d v="2024-12-19T00:00:00"/>
    <x v="0"/>
    <x v="1"/>
    <x v="23"/>
    <n v="1780000"/>
    <n v="12"/>
    <x v="4"/>
  </r>
  <r>
    <s v="[DH216] "/>
    <s v=" Bui Anh Tam "/>
    <n v="935805259"/>
    <n v="9990000"/>
    <n v="2"/>
    <d v="2024-12-09T00:00:00"/>
    <x v="1"/>
    <x v="0"/>
    <x v="0"/>
    <n v="19980000"/>
    <n v="12"/>
    <x v="7"/>
  </r>
  <r>
    <s v="[DH045] "/>
    <s v=" Quach Hoang Dung "/>
    <n v="961700055"/>
    <n v="280000"/>
    <n v="1"/>
    <d v="2024-12-07T00:00:00"/>
    <x v="0"/>
    <x v="1"/>
    <x v="20"/>
    <n v="280000"/>
    <n v="12"/>
    <x v="1"/>
  </r>
  <r>
    <s v="[DH125] "/>
    <s v=" Hoang Kim Uy "/>
    <n v="925253751"/>
    <n v="250000"/>
    <n v="4"/>
    <d v="2024-12-03T00:00:00"/>
    <x v="2"/>
    <x v="1"/>
    <x v="21"/>
    <n v="1000000"/>
    <n v="12"/>
    <x v="1"/>
  </r>
  <r>
    <s v="[DH178] "/>
    <s v=" Do Duc Ngoc "/>
    <n v="916416148"/>
    <n v="3990000"/>
    <n v="1"/>
    <d v="2024-12-11T00:00:00"/>
    <x v="1"/>
    <x v="1"/>
    <x v="16"/>
    <n v="3990000"/>
    <n v="12"/>
    <x v="7"/>
  </r>
  <r>
    <s v="[DH109] "/>
    <s v=" Tang Duc Lan "/>
    <n v="912944682"/>
    <n v="2990000"/>
    <n v="1"/>
    <d v="2024-12-13T00:00:00"/>
    <x v="0"/>
    <x v="1"/>
    <x v="12"/>
    <n v="2990000"/>
    <n v="12"/>
    <x v="7"/>
  </r>
  <r>
    <s v="[DH099] "/>
    <s v=" Ngo Kim Binh "/>
    <n v="952704903"/>
    <n v="250000"/>
    <n v="4"/>
    <d v="2024-12-16T00:00:00"/>
    <x v="0"/>
    <x v="1"/>
    <x v="21"/>
    <n v="1000000"/>
    <n v="12"/>
    <x v="4"/>
  </r>
  <r>
    <s v="[DH036] "/>
    <s v=" Bui Hoang Tam "/>
    <n v="943704923"/>
    <n v="22990000"/>
    <n v="2"/>
    <d v="2024-12-03T00:00:00"/>
    <x v="1"/>
    <x v="0"/>
    <x v="24"/>
    <n v="45980000"/>
    <n v="12"/>
    <x v="1"/>
  </r>
  <r>
    <s v="[DH108] "/>
    <s v=" Bui Ngoc Lan "/>
    <n v="936738452"/>
    <n v="8990000"/>
    <n v="1"/>
    <d v="2024-12-28T00:00:00"/>
    <x v="1"/>
    <x v="2"/>
    <x v="22"/>
    <n v="8990000"/>
    <n v="12"/>
    <x v="0"/>
  </r>
  <r>
    <s v="[DH220] "/>
    <s v=" La Duc Em "/>
    <n v="924660143"/>
    <n v="80000"/>
    <n v="2"/>
    <d v="2024-12-24T00:00:00"/>
    <x v="0"/>
    <x v="1"/>
    <x v="4"/>
    <n v="160000"/>
    <n v="12"/>
    <x v="0"/>
  </r>
  <r>
    <s v="[DH131] "/>
    <s v=" To Thanh Kien "/>
    <n v="960237832"/>
    <n v="25990000"/>
    <n v="1"/>
    <d v="2024-12-22T00:00:00"/>
    <x v="2"/>
    <x v="0"/>
    <x v="14"/>
    <n v="25990000"/>
    <n v="12"/>
    <x v="0"/>
  </r>
  <r>
    <s v="[DH096] "/>
    <s v=" Ngo Ngoc Van "/>
    <n v="929413516"/>
    <n v="8990000"/>
    <n v="1"/>
    <d v="2024-12-07T00:00:00"/>
    <x v="1"/>
    <x v="2"/>
    <x v="22"/>
    <n v="8990000"/>
    <n v="12"/>
    <x v="1"/>
  </r>
  <r>
    <s v="[DH203] "/>
    <s v=" Duong Ngoc Hanh "/>
    <n v="938876195"/>
    <n v="280000"/>
    <n v="1"/>
    <d v="2024-12-12T00:00:00"/>
    <x v="0"/>
    <x v="1"/>
    <x v="20"/>
    <n v="280000"/>
    <n v="12"/>
    <x v="7"/>
  </r>
  <r>
    <s v="[DH062] "/>
    <s v=" Le Kim Em "/>
    <n v="971968116"/>
    <n v="15990000"/>
    <n v="2"/>
    <d v="2024-12-02T00:00:00"/>
    <x v="1"/>
    <x v="0"/>
    <x v="5"/>
    <n v="31980000"/>
    <n v="12"/>
    <x v="1"/>
  </r>
  <r>
    <s v="[DH031] "/>
    <s v=" Tang Anh Uy "/>
    <n v="952462441"/>
    <n v="6990000"/>
    <n v="2"/>
    <d v="2024-12-07T00:00:00"/>
    <x v="2"/>
    <x v="0"/>
    <x v="18"/>
    <n v="13980000"/>
    <n v="12"/>
    <x v="1"/>
  </r>
  <r>
    <s v="[DH168] "/>
    <s v=" Truong Minh Em "/>
    <n v="915140967"/>
    <n v="12500000"/>
    <n v="1"/>
    <d v="2024-12-30T00:00:00"/>
    <x v="0"/>
    <x v="2"/>
    <x v="8"/>
    <n v="12500000"/>
    <n v="12"/>
    <x v="5"/>
  </r>
  <r>
    <s v="[DH251] "/>
    <s v=" Dinh Van Giang "/>
    <n v="935504548"/>
    <n v="250000"/>
    <n v="4"/>
    <d v="2024-12-04T00:00:00"/>
    <x v="0"/>
    <x v="1"/>
    <x v="21"/>
    <n v="1000000"/>
    <n v="12"/>
    <x v="1"/>
  </r>
  <r>
    <s v="[DH191] "/>
    <s v=" Chau Hoang Quynh "/>
    <n v="964953237"/>
    <n v="280000"/>
    <n v="3"/>
    <d v="2024-03-12T00:00:00"/>
    <x v="1"/>
    <x v="1"/>
    <x v="20"/>
    <n v="840000"/>
    <n v="3"/>
    <x v="8"/>
  </r>
  <r>
    <s v="[DH228] "/>
    <s v=" Cao Kim Uy "/>
    <n v="954013571"/>
    <n v="28990000"/>
    <n v="1"/>
    <d v="2024-12-13T00:00:00"/>
    <x v="1"/>
    <x v="0"/>
    <x v="6"/>
    <n v="28990000"/>
    <n v="12"/>
    <x v="7"/>
  </r>
  <r>
    <s v="[DH212] "/>
    <s v=" Tang Ngoc Phuong "/>
    <n v="980361272"/>
    <n v="3990000"/>
    <n v="4"/>
    <d v="2024-12-24T00:00:00"/>
    <x v="2"/>
    <x v="1"/>
    <x v="16"/>
    <n v="15960000"/>
    <n v="12"/>
    <x v="0"/>
  </r>
  <r>
    <s v="[DH222] "/>
    <s v=" Nguyen Hoang Phuong "/>
    <n v="964614193"/>
    <n v="3990000"/>
    <n v="4"/>
    <d v="2024-12-30T00:00:00"/>
    <x v="1"/>
    <x v="1"/>
    <x v="16"/>
    <n v="15960000"/>
    <n v="12"/>
    <x v="5"/>
  </r>
  <r>
    <s v="[DH091] "/>
    <s v=" Chau Duc Phuc "/>
    <n v="983832717"/>
    <n v="22990000"/>
    <n v="2"/>
    <d v="2024-12-15T00:00:00"/>
    <x v="1"/>
    <x v="0"/>
    <x v="24"/>
    <n v="45980000"/>
    <n v="12"/>
    <x v="4"/>
  </r>
  <r>
    <s v="[DH237] "/>
    <s v=" Nguyen Hong Xuan "/>
    <n v="919801857"/>
    <n v="22990000"/>
    <n v="1"/>
    <d v="2024-12-14T00:00:00"/>
    <x v="2"/>
    <x v="0"/>
    <x v="24"/>
    <n v="22990000"/>
    <n v="12"/>
    <x v="7"/>
  </r>
  <r>
    <s v="[DH173] "/>
    <s v=" Duong Hoang Uy "/>
    <n v="978131950"/>
    <n v="450000"/>
    <n v="4"/>
    <d v="2024-12-01T00:00:00"/>
    <x v="1"/>
    <x v="1"/>
    <x v="11"/>
    <n v="1800000"/>
    <n v="12"/>
    <x v="1"/>
  </r>
  <r>
    <s v="[DH151] "/>
    <s v=" Tang Van Ngoc "/>
    <n v="978093604"/>
    <n v="28990000"/>
    <n v="2"/>
    <d v="2024-12-10T00:00:00"/>
    <x v="1"/>
    <x v="0"/>
    <x v="6"/>
    <n v="57980000"/>
    <n v="12"/>
    <x v="7"/>
  </r>
  <r>
    <s v="[DH101] "/>
    <s v=" Pham Hoang Son "/>
    <n v="912059919"/>
    <n v="250000"/>
    <n v="2"/>
    <d v="2024-12-05T00:00:00"/>
    <x v="1"/>
    <x v="1"/>
    <x v="21"/>
    <n v="500000"/>
    <n v="12"/>
    <x v="1"/>
  </r>
  <r>
    <s v="[DH157] "/>
    <s v=" Quach Minh Minh "/>
    <n v="920939011"/>
    <n v="280000"/>
    <n v="3"/>
    <d v="2024-12-22T00:00:00"/>
    <x v="0"/>
    <x v="1"/>
    <x v="20"/>
    <n v="840000"/>
    <n v="12"/>
    <x v="0"/>
  </r>
  <r>
    <s v="[DH195] "/>
    <s v=" La Thi Uy "/>
    <n v="996031876"/>
    <n v="15990000"/>
    <n v="1"/>
    <d v="2024-12-19T00:00:00"/>
    <x v="0"/>
    <x v="0"/>
    <x v="5"/>
    <n v="15990000"/>
    <n v="12"/>
    <x v="4"/>
  </r>
  <r>
    <s v="[DH153] "/>
    <s v=" Tran Ngoc Xuan "/>
    <n v="997488142"/>
    <n v="18990000"/>
    <n v="2"/>
    <d v="2024-12-11T00:00:00"/>
    <x v="2"/>
    <x v="0"/>
    <x v="2"/>
    <n v="37980000"/>
    <n v="12"/>
    <x v="7"/>
  </r>
  <r>
    <s v="[DH081] "/>
    <s v=" Dinh Thi Hanh "/>
    <n v="925898299"/>
    <n v="450000"/>
    <n v="5"/>
    <d v="2024-12-25T00:00:00"/>
    <x v="2"/>
    <x v="1"/>
    <x v="11"/>
    <n v="2250000"/>
    <n v="12"/>
    <x v="0"/>
  </r>
  <r>
    <s v="[DH200] "/>
    <s v=" Duong Hoang Dung "/>
    <n v="952831009"/>
    <n v="9990000"/>
    <n v="2"/>
    <d v="2024-12-15T00:00:00"/>
    <x v="2"/>
    <x v="0"/>
    <x v="0"/>
    <n v="19980000"/>
    <n v="12"/>
    <x v="4"/>
  </r>
  <r>
    <s v="[DH136] "/>
    <s v=" Bui Van Phuong "/>
    <n v="946677730"/>
    <n v="5290000"/>
    <n v="3"/>
    <d v="2024-12-25T00:00:00"/>
    <x v="2"/>
    <x v="1"/>
    <x v="17"/>
    <n v="15870000"/>
    <n v="12"/>
    <x v="0"/>
  </r>
  <r>
    <s v="[DH126] "/>
    <s v=" Ma Hoang Hanh "/>
    <n v="992558242"/>
    <n v="22990000"/>
    <n v="2"/>
    <d v="2024-12-24T00:00:00"/>
    <x v="2"/>
    <x v="0"/>
    <x v="24"/>
    <n v="45980000"/>
    <n v="12"/>
    <x v="0"/>
  </r>
  <r>
    <s v="[DH068] "/>
    <s v=" Quach Thi Xuan "/>
    <n v="915512205"/>
    <n v="9990000"/>
    <n v="2"/>
    <d v="2024-12-18T00:00:00"/>
    <x v="1"/>
    <x v="2"/>
    <x v="13"/>
    <n v="19980000"/>
    <n v="12"/>
    <x v="4"/>
  </r>
  <r>
    <s v="[DH224] "/>
    <s v=" Vu Kim Phuong "/>
    <n v="914877451"/>
    <n v="8990000"/>
    <n v="1"/>
    <d v="2024-12-26T00:00:00"/>
    <x v="1"/>
    <x v="2"/>
    <x v="22"/>
    <n v="8990000"/>
    <n v="12"/>
    <x v="0"/>
  </r>
  <r>
    <s v="[DH118] "/>
    <s v=" La Minh Phuc "/>
    <n v="970887034"/>
    <n v="9990000"/>
    <n v="2"/>
    <d v="2024-12-22T00:00:00"/>
    <x v="2"/>
    <x v="2"/>
    <x v="13"/>
    <n v="19980000"/>
    <n v="12"/>
    <x v="0"/>
  </r>
  <r>
    <s v="[DH193] "/>
    <s v=" Pham Hoang Em "/>
    <n v="950818905"/>
    <n v="15990000"/>
    <n v="1"/>
    <d v="2024-12-06T00:00:00"/>
    <x v="0"/>
    <x v="0"/>
    <x v="5"/>
    <n v="15990000"/>
    <n v="12"/>
    <x v="1"/>
  </r>
  <r>
    <s v="[DH084] "/>
    <s v=" Le Minh An "/>
    <n v="964830300"/>
    <n v="350000"/>
    <n v="4"/>
    <d v="2024-12-23T00:00:00"/>
    <x v="1"/>
    <x v="1"/>
    <x v="1"/>
    <n v="1400000"/>
    <n v="12"/>
    <x v="0"/>
  </r>
  <r>
    <s v="[DH094] "/>
    <s v=" Quach Hong Phuong "/>
    <n v="951708177"/>
    <n v="450000"/>
    <n v="4"/>
    <d v="2024-12-01T00:00:00"/>
    <x v="2"/>
    <x v="1"/>
    <x v="11"/>
    <n v="1800000"/>
    <n v="12"/>
    <x v="1"/>
  </r>
  <r>
    <s v="[DH261] "/>
    <s v=" Duong Kim Phuong "/>
    <n v="924363501"/>
    <n v="18990000"/>
    <n v="1"/>
    <d v="2024-12-17T00:00:00"/>
    <x v="1"/>
    <x v="0"/>
    <x v="3"/>
    <n v="18990000"/>
    <n v="12"/>
    <x v="4"/>
  </r>
  <r>
    <s v="[DH138] "/>
    <s v=" To Ngoc Minh "/>
    <n v="931127115"/>
    <n v="9990000"/>
    <n v="2"/>
    <d v="2024-12-10T00:00:00"/>
    <x v="2"/>
    <x v="2"/>
    <x v="13"/>
    <n v="19980000"/>
    <n v="12"/>
    <x v="7"/>
  </r>
  <r>
    <s v="[DH027] "/>
    <s v=" Cao Van Phuc "/>
    <n v="945594951"/>
    <n v="350000"/>
    <n v="5"/>
    <d v="2024-12-10T00:00:00"/>
    <x v="2"/>
    <x v="1"/>
    <x v="1"/>
    <n v="1750000"/>
    <n v="12"/>
    <x v="7"/>
  </r>
  <r>
    <s v="[DH148] "/>
    <s v=" Ly Minh Hanh "/>
    <n v="923798190"/>
    <n v="25990000"/>
    <n v="1"/>
    <d v="2024-09-12T00:00:00"/>
    <x v="0"/>
    <x v="0"/>
    <x v="14"/>
    <n v="25990000"/>
    <n v="9"/>
    <x v="11"/>
  </r>
  <r>
    <s v="[DH017] "/>
    <s v=" Pham Thanh Lan "/>
    <n v="942138745"/>
    <n v="22990000"/>
    <n v="1"/>
    <d v="2024-12-08T00:00:00"/>
    <x v="2"/>
    <x v="0"/>
    <x v="24"/>
    <n v="22990000"/>
    <n v="12"/>
    <x v="7"/>
  </r>
  <r>
    <s v="[DH252] "/>
    <s v=" Do Kim Hanh "/>
    <n v="984098828"/>
    <n v="18490000"/>
    <n v="2"/>
    <d v="2024-12-25T00:00:00"/>
    <x v="1"/>
    <x v="2"/>
    <x v="7"/>
    <n v="36980000"/>
    <n v="12"/>
    <x v="0"/>
  </r>
  <r>
    <s v="[DH240] "/>
    <s v=" Pham Minh Van "/>
    <n v="962755436"/>
    <n v="890000"/>
    <n v="2"/>
    <d v="2024-12-05T00:00:00"/>
    <x v="1"/>
    <x v="1"/>
    <x v="23"/>
    <n v="1780000"/>
    <n v="12"/>
    <x v="1"/>
  </r>
  <r>
    <s v="[DH273] "/>
    <s v=" Ma Hoang Van "/>
    <n v="978778646"/>
    <n v="8900000"/>
    <n v="1"/>
    <d v="2024-04-12T00:00:00"/>
    <x v="0"/>
    <x v="2"/>
    <x v="9"/>
    <n v="8900000"/>
    <n v="4"/>
    <x v="9"/>
  </r>
  <r>
    <s v="[DH181] "/>
    <s v=" Dinh Duc Son "/>
    <n v="990882505"/>
    <n v="5290000"/>
    <n v="4"/>
    <d v="2024-12-14T00:00:00"/>
    <x v="0"/>
    <x v="1"/>
    <x v="17"/>
    <n v="21160000"/>
    <n v="12"/>
    <x v="7"/>
  </r>
  <r>
    <s v="[DH100] "/>
    <s v=" Hoang Ngoc Binh "/>
    <n v="926944487"/>
    <n v="890000"/>
    <n v="3"/>
    <d v="2024-12-31T00:00:00"/>
    <x v="1"/>
    <x v="1"/>
    <x v="23"/>
    <n v="2670000"/>
    <n v="12"/>
    <x v="5"/>
  </r>
  <r>
    <s v="[DH207] "/>
    <s v=" Ly Thanh Van "/>
    <n v="959070856"/>
    <n v="190000"/>
    <n v="5"/>
    <d v="2024-05-12T00:00:00"/>
    <x v="2"/>
    <x v="1"/>
    <x v="10"/>
    <n v="950000"/>
    <n v="5"/>
    <x v="12"/>
  </r>
  <r>
    <s v="[DH152] "/>
    <s v=" Le Thi Yen "/>
    <n v="989736043"/>
    <n v="890000"/>
    <n v="5"/>
    <d v="2024-12-13T00:00:00"/>
    <x v="0"/>
    <x v="1"/>
    <x v="23"/>
    <n v="4450000"/>
    <n v="12"/>
    <x v="7"/>
  </r>
  <r>
    <s v="[DH231] "/>
    <s v=" Vu Kim Uy "/>
    <n v="951738753"/>
    <n v="5290000"/>
    <n v="3"/>
    <d v="2024-12-04T00:00:00"/>
    <x v="2"/>
    <x v="1"/>
    <x v="17"/>
    <n v="15870000"/>
    <n v="12"/>
    <x v="1"/>
  </r>
  <r>
    <s v="[DH271] "/>
    <s v=" Ngo Thi Cuong "/>
    <n v="945966597"/>
    <n v="25990000"/>
    <n v="1"/>
    <d v="2024-12-13T00:00:00"/>
    <x v="1"/>
    <x v="0"/>
    <x v="14"/>
    <n v="25990000"/>
    <n v="12"/>
    <x v="7"/>
  </r>
  <r>
    <s v="[DH158] "/>
    <s v=" Cao Minh Yen "/>
    <n v="921370793"/>
    <n v="12500000"/>
    <n v="2"/>
    <d v="2024-12-18T00:00:00"/>
    <x v="0"/>
    <x v="2"/>
    <x v="8"/>
    <n v="25000000"/>
    <n v="12"/>
    <x v="4"/>
  </r>
  <r>
    <s v="[DH189] "/>
    <s v=" Vu Thanh Uy "/>
    <n v="940097200"/>
    <n v="18990000"/>
    <n v="1"/>
    <d v="2024-07-12T00:00:00"/>
    <x v="0"/>
    <x v="0"/>
    <x v="3"/>
    <n v="18990000"/>
    <n v="7"/>
    <x v="13"/>
  </r>
  <r>
    <s v="[DH008] "/>
    <s v=" Bui Thi Yen "/>
    <n v="995225343"/>
    <n v="15990000"/>
    <n v="1"/>
    <d v="2024-12-18T00:00:00"/>
    <x v="1"/>
    <x v="0"/>
    <x v="5"/>
    <n v="15990000"/>
    <n v="12"/>
    <x v="4"/>
  </r>
  <r>
    <s v="[DH102] "/>
    <s v=" Truong Anh Phuc "/>
    <n v="997219599"/>
    <n v="28990000"/>
    <n v="2"/>
    <d v="2024-12-28T00:00:00"/>
    <x v="1"/>
    <x v="0"/>
    <x v="6"/>
    <n v="57980000"/>
    <n v="12"/>
    <x v="0"/>
  </r>
  <r>
    <s v="[DH111] "/>
    <s v=" Quach Duc Em "/>
    <n v="994322033"/>
    <n v="18990000"/>
    <n v="1"/>
    <d v="2024-12-29T00:00:00"/>
    <x v="2"/>
    <x v="0"/>
    <x v="3"/>
    <n v="18990000"/>
    <n v="12"/>
    <x v="5"/>
  </r>
  <r>
    <s v="[DH169] "/>
    <s v=" Nguyen Thi An "/>
    <n v="944349528"/>
    <n v="18990000"/>
    <n v="2"/>
    <d v="2024-12-27T00:00:00"/>
    <x v="2"/>
    <x v="0"/>
    <x v="2"/>
    <n v="37980000"/>
    <n v="12"/>
    <x v="0"/>
  </r>
  <r>
    <s v="[DH164] "/>
    <s v=" Ma Ngoc Lan "/>
    <n v="961254050"/>
    <n v="890000"/>
    <n v="2"/>
    <d v="2024-12-17T00:00:00"/>
    <x v="2"/>
    <x v="1"/>
    <x v="23"/>
    <n v="1780000"/>
    <n v="12"/>
    <x v="4"/>
  </r>
  <r>
    <s v="[DH202] "/>
    <s v=" Vu Ngoc Uy "/>
    <n v="972654864"/>
    <n v="150000"/>
    <n v="4"/>
    <d v="2024-12-29T00:00:00"/>
    <x v="1"/>
    <x v="1"/>
    <x v="15"/>
    <n v="600000"/>
    <n v="12"/>
    <x v="5"/>
  </r>
  <r>
    <s v="[DH048] "/>
    <s v=" Cao Minh Yen "/>
    <n v="986384014"/>
    <n v="12500000"/>
    <n v="1"/>
    <d v="2024-12-13T00:00:00"/>
    <x v="1"/>
    <x v="2"/>
    <x v="8"/>
    <n v="12500000"/>
    <n v="12"/>
    <x v="7"/>
  </r>
  <r>
    <s v="[DH162] "/>
    <s v=" Quach Minh Son "/>
    <n v="915864298"/>
    <n v="8900000"/>
    <n v="1"/>
    <d v="2024-12-12T00:00:00"/>
    <x v="0"/>
    <x v="2"/>
    <x v="9"/>
    <n v="8900000"/>
    <n v="12"/>
    <x v="7"/>
  </r>
  <r>
    <s v="[DH104] "/>
    <s v=" Pham Thi Son "/>
    <n v="932329103"/>
    <n v="5290000"/>
    <n v="1"/>
    <d v="2024-10-12T00:00:00"/>
    <x v="1"/>
    <x v="1"/>
    <x v="17"/>
    <n v="5290000"/>
    <n v="10"/>
    <x v="14"/>
  </r>
  <r>
    <s v="[DH060] "/>
    <s v=" La Hoang Yen "/>
    <n v="939600202"/>
    <n v="150000"/>
    <n v="4"/>
    <d v="2024-12-08T00:00:00"/>
    <x v="1"/>
    <x v="1"/>
    <x v="15"/>
    <n v="600000"/>
    <n v="12"/>
    <x v="7"/>
  </r>
  <r>
    <s v="[DH119] "/>
    <s v=" To Thi Tam "/>
    <n v="992631441"/>
    <n v="8900000"/>
    <n v="1"/>
    <d v="2024-12-31T00:00:00"/>
    <x v="1"/>
    <x v="2"/>
    <x v="9"/>
    <n v="8900000"/>
    <n v="12"/>
    <x v="5"/>
  </r>
  <r>
    <s v="[DH110] "/>
    <s v=" Tran Anh Tam "/>
    <n v="948412328"/>
    <n v="190000"/>
    <n v="5"/>
    <d v="2024-12-26T00:00:00"/>
    <x v="2"/>
    <x v="1"/>
    <x v="10"/>
    <n v="950000"/>
    <n v="12"/>
    <x v="0"/>
  </r>
  <r>
    <s v="[DH144] "/>
    <s v=" Tran Kim An "/>
    <n v="971707170"/>
    <n v="28990000"/>
    <n v="2"/>
    <d v="2024-12-28T00:00:00"/>
    <x v="0"/>
    <x v="0"/>
    <x v="6"/>
    <n v="57980000"/>
    <n v="12"/>
    <x v="0"/>
  </r>
  <r>
    <s v="[DH085] "/>
    <s v=" Dinh Ngoc Cuong "/>
    <n v="941329612"/>
    <n v="6990000"/>
    <n v="1"/>
    <d v="2024-12-26T00:00:00"/>
    <x v="2"/>
    <x v="0"/>
    <x v="18"/>
    <n v="6990000"/>
    <n v="12"/>
    <x v="0"/>
  </r>
  <r>
    <s v="[DH041] "/>
    <s v=" Ngo Duc Phuong "/>
    <n v="924508349"/>
    <n v="8990000"/>
    <n v="2"/>
    <d v="2024-12-28T00:00:00"/>
    <x v="1"/>
    <x v="2"/>
    <x v="22"/>
    <n v="17980000"/>
    <n v="12"/>
    <x v="0"/>
  </r>
  <r>
    <s v="[DH142] "/>
    <s v=" Dinh Hong Em "/>
    <n v="944295247"/>
    <n v="12500000"/>
    <n v="1"/>
    <d v="2024-11-12T00:00:00"/>
    <x v="2"/>
    <x v="2"/>
    <x v="8"/>
    <n v="12500000"/>
    <n v="11"/>
    <x v="2"/>
  </r>
  <r>
    <s v="[DH270] "/>
    <s v=" Chau Hong Ngoc "/>
    <n v="984227466"/>
    <n v="8990000"/>
    <n v="2"/>
    <d v="2024-12-14T00:00:00"/>
    <x v="1"/>
    <x v="2"/>
    <x v="22"/>
    <n v="17980000"/>
    <n v="12"/>
    <x v="7"/>
  </r>
  <r>
    <s v="[DH063] "/>
    <s v=" Truong Kim Kien "/>
    <n v="966581473"/>
    <n v="6990000"/>
    <n v="2"/>
    <d v="2024-12-27T00:00:00"/>
    <x v="2"/>
    <x v="0"/>
    <x v="18"/>
    <n v="13980000"/>
    <n v="12"/>
    <x v="0"/>
  </r>
  <r>
    <s v="[DH190] "/>
    <s v=" Tang Thanh Son "/>
    <n v="984040798"/>
    <n v="25990000"/>
    <n v="1"/>
    <d v="2024-12-20T00:00:00"/>
    <x v="0"/>
    <x v="0"/>
    <x v="14"/>
    <n v="25990000"/>
    <n v="12"/>
    <x v="4"/>
  </r>
  <r>
    <s v="[DH043] "/>
    <s v=" Bui Thanh Uy "/>
    <n v="963643924"/>
    <n v="2990000"/>
    <n v="3"/>
    <d v="2024-12-27T00:00:00"/>
    <x v="1"/>
    <x v="1"/>
    <x v="12"/>
    <n v="8970000"/>
    <n v="12"/>
    <x v="0"/>
  </r>
  <r>
    <s v="[DH276] "/>
    <s v=" Vu Kim Kien "/>
    <n v="966519399"/>
    <n v="12500000"/>
    <n v="2"/>
    <d v="2024-12-16T00:00:00"/>
    <x v="0"/>
    <x v="2"/>
    <x v="8"/>
    <n v="25000000"/>
    <n v="12"/>
    <x v="4"/>
  </r>
  <r>
    <s v="[DH174] "/>
    <s v=" Bui Van Ngoc "/>
    <n v="919067690"/>
    <n v="9990000"/>
    <n v="1"/>
    <d v="2024-12-08T00:00:00"/>
    <x v="1"/>
    <x v="2"/>
    <x v="13"/>
    <n v="9990000"/>
    <n v="12"/>
    <x v="7"/>
  </r>
  <r>
    <s v="[DH028] "/>
    <s v=" Do Duc Giang "/>
    <n v="917849494"/>
    <n v="280000"/>
    <n v="1"/>
    <d v="2024-12-24T00:00:00"/>
    <x v="2"/>
    <x v="1"/>
    <x v="20"/>
    <n v="280000"/>
    <n v="12"/>
    <x v="0"/>
  </r>
  <r>
    <s v="[DH166] "/>
    <s v=" Bui Ngoc Uy "/>
    <n v="929776801"/>
    <n v="8900000"/>
    <n v="2"/>
    <d v="2024-03-12T00:00:00"/>
    <x v="1"/>
    <x v="2"/>
    <x v="9"/>
    <n v="17800000"/>
    <n v="3"/>
    <x v="8"/>
  </r>
  <r>
    <s v="[DH243] "/>
    <s v=" Tran Ngoc Yen "/>
    <n v="916533225"/>
    <n v="9990000"/>
    <n v="2"/>
    <d v="2024-12-24T00:00:00"/>
    <x v="2"/>
    <x v="0"/>
    <x v="0"/>
    <n v="19980000"/>
    <n v="12"/>
    <x v="0"/>
  </r>
  <r>
    <s v="[DH218] "/>
    <s v=" La Kim Phuc "/>
    <n v="956323191"/>
    <n v="190000"/>
    <n v="3"/>
    <d v="2024-12-26T00:00:00"/>
    <x v="0"/>
    <x v="1"/>
    <x v="10"/>
    <n v="570000"/>
    <n v="12"/>
    <x v="0"/>
  </r>
  <r>
    <s v="[DH272] "/>
    <s v=" Pham Thi An "/>
    <n v="951374957"/>
    <n v="350000"/>
    <n v="1"/>
    <d v="2024-12-12T00:00:00"/>
    <x v="1"/>
    <x v="1"/>
    <x v="1"/>
    <n v="350000"/>
    <n v="12"/>
    <x v="7"/>
  </r>
  <r>
    <s v="[DH250] "/>
    <s v=" Quach Anh Binh "/>
    <n v="919768947"/>
    <n v="18990000"/>
    <n v="1"/>
    <d v="2024-12-26T00:00:00"/>
    <x v="1"/>
    <x v="0"/>
    <x v="2"/>
    <n v="18990000"/>
    <n v="12"/>
    <x v="0"/>
  </r>
  <r>
    <s v="[DH208] "/>
    <s v=" Tran Van Em "/>
    <n v="954699966"/>
    <n v="150000"/>
    <n v="2"/>
    <d v="2024-12-17T00:00:00"/>
    <x v="2"/>
    <x v="1"/>
    <x v="15"/>
    <n v="300000"/>
    <n v="12"/>
    <x v="4"/>
  </r>
  <r>
    <s v="[DH077] "/>
    <s v=" Bui Anh Uy "/>
    <n v="990099897"/>
    <n v="12500000"/>
    <n v="2"/>
    <d v="2024-04-12T00:00:00"/>
    <x v="1"/>
    <x v="2"/>
    <x v="8"/>
    <n v="25000000"/>
    <n v="4"/>
    <x v="9"/>
  </r>
  <r>
    <s v="[DH018] "/>
    <s v=" La Minh Em "/>
    <n v="998550256"/>
    <n v="150000"/>
    <n v="2"/>
    <d v="2024-12-31T00:00:00"/>
    <x v="0"/>
    <x v="1"/>
    <x v="15"/>
    <n v="300000"/>
    <n v="12"/>
    <x v="5"/>
  </r>
  <r>
    <s v="[DH082] "/>
    <s v=" Duong Kim Son "/>
    <n v="969421007"/>
    <n v="12500000"/>
    <n v="2"/>
    <d v="2024-12-28T00:00:00"/>
    <x v="2"/>
    <x v="2"/>
    <x v="8"/>
    <n v="25000000"/>
    <n v="12"/>
    <x v="0"/>
  </r>
  <r>
    <s v="[DH116] "/>
    <s v=" Ly Thi Hanh "/>
    <n v="973280554"/>
    <n v="12500000"/>
    <n v="2"/>
    <d v="2024-12-20T00:00:00"/>
    <x v="2"/>
    <x v="0"/>
    <x v="19"/>
    <n v="25000000"/>
    <n v="12"/>
    <x v="4"/>
  </r>
  <r>
    <s v="[DH179] "/>
    <s v=" Ma Kim Minh "/>
    <n v="935074182"/>
    <n v="150000"/>
    <n v="3"/>
    <d v="2024-12-23T00:00:00"/>
    <x v="2"/>
    <x v="1"/>
    <x v="15"/>
    <n v="450000"/>
    <n v="12"/>
    <x v="0"/>
  </r>
  <r>
    <s v="[DH113] "/>
    <s v=" Ly Hoang Uy "/>
    <n v="946578001"/>
    <n v="15990000"/>
    <n v="2"/>
    <d v="2024-12-09T00:00:00"/>
    <x v="2"/>
    <x v="0"/>
    <x v="5"/>
    <n v="31980000"/>
    <n v="12"/>
    <x v="7"/>
  </r>
  <r>
    <s v="[DH025] "/>
    <s v=" Vu Duc Son "/>
    <n v="943528453"/>
    <n v="28990000"/>
    <n v="1"/>
    <d v="2024-12-15T00:00:00"/>
    <x v="0"/>
    <x v="0"/>
    <x v="6"/>
    <n v="28990000"/>
    <n v="12"/>
    <x v="4"/>
  </r>
  <r>
    <s v="[DH122] "/>
    <s v=" Hoang Anh Giang "/>
    <n v="919208698"/>
    <n v="190000"/>
    <n v="5"/>
    <d v="2024-12-18T00:00:00"/>
    <x v="2"/>
    <x v="1"/>
    <x v="10"/>
    <n v="950000"/>
    <n v="12"/>
    <x v="4"/>
  </r>
  <r>
    <s v="[DH245] "/>
    <s v=" Truong Hong Lan "/>
    <n v="929228089"/>
    <n v="2990000"/>
    <n v="4"/>
    <d v="2024-12-17T00:00:00"/>
    <x v="0"/>
    <x v="1"/>
    <x v="12"/>
    <n v="11960000"/>
    <n v="12"/>
    <x v="4"/>
  </r>
  <r>
    <s v="[DH134] "/>
    <s v=" Hoang Ngoc Hanh "/>
    <n v="924524825"/>
    <n v="9990000"/>
    <n v="2"/>
    <d v="2024-12-28T00:00:00"/>
    <x v="0"/>
    <x v="2"/>
    <x v="13"/>
    <n v="19980000"/>
    <n v="12"/>
    <x v="0"/>
  </r>
  <r>
    <s v="[DH053] "/>
    <s v=" Nguyen Thi Quynh "/>
    <n v="939372360"/>
    <n v="15990000"/>
    <n v="2"/>
    <d v="2024-12-26T00:00:00"/>
    <x v="2"/>
    <x v="0"/>
    <x v="5"/>
    <n v="31980000"/>
    <n v="12"/>
    <x v="0"/>
  </r>
  <r>
    <s v="[DH263] "/>
    <s v=" Ngo Duc Cuong "/>
    <n v="997742922"/>
    <n v="3990000"/>
    <n v="1"/>
    <d v="2024-12-25T00:00:00"/>
    <x v="0"/>
    <x v="1"/>
    <x v="16"/>
    <n v="3990000"/>
    <n v="12"/>
    <x v="0"/>
  </r>
  <r>
    <s v="[DH117] "/>
    <s v=" Ma Duc Quynh "/>
    <n v="925659979"/>
    <n v="25990000"/>
    <n v="2"/>
    <d v="2024-02-12T00:00:00"/>
    <x v="2"/>
    <x v="0"/>
    <x v="14"/>
    <n v="51980000"/>
    <n v="2"/>
    <x v="6"/>
  </r>
  <r>
    <s v="[DH088] "/>
    <s v=" Truong Anh Kien "/>
    <n v="913471527"/>
    <n v="28990000"/>
    <n v="1"/>
    <d v="2024-12-08T00:00:00"/>
    <x v="0"/>
    <x v="0"/>
    <x v="6"/>
    <n v="28990000"/>
    <n v="12"/>
    <x v="7"/>
  </r>
  <r>
    <s v="[DH080] "/>
    <s v=" Bui Ngoc Dung "/>
    <n v="918770247"/>
    <n v="8990000"/>
    <n v="1"/>
    <d v="2024-12-16T00:00:00"/>
    <x v="0"/>
    <x v="2"/>
    <x v="22"/>
    <n v="8990000"/>
    <n v="12"/>
    <x v="4"/>
  </r>
  <r>
    <s v="[DH090] "/>
    <s v=" Le Ngoc Ngoc "/>
    <n v="964807553"/>
    <n v="18490000"/>
    <n v="1"/>
    <d v="2024-12-11T00:00:00"/>
    <x v="0"/>
    <x v="2"/>
    <x v="7"/>
    <n v="18490000"/>
    <n v="12"/>
    <x v="7"/>
  </r>
  <r>
    <s v="[DH037] "/>
    <s v=" Hoang Duc Phuong "/>
    <n v="969302158"/>
    <n v="450000"/>
    <n v="5"/>
    <d v="2024-12-23T00:00:00"/>
    <x v="0"/>
    <x v="1"/>
    <x v="11"/>
    <n v="2250000"/>
    <n v="12"/>
    <x v="0"/>
  </r>
  <r>
    <s v="[DH187] "/>
    <s v=" Dinh Ngoc Giang "/>
    <n v="926460116"/>
    <n v="25990000"/>
    <n v="2"/>
    <d v="2024-12-28T00:00:00"/>
    <x v="1"/>
    <x v="0"/>
    <x v="14"/>
    <n v="51980000"/>
    <n v="12"/>
    <x v="0"/>
  </r>
  <r>
    <s v="[DH241] "/>
    <s v=" Ma Hoang Quynh "/>
    <n v="981394920"/>
    <n v="8990000"/>
    <n v="1"/>
    <d v="2024-12-27T00:00:00"/>
    <x v="1"/>
    <x v="2"/>
    <x v="22"/>
    <n v="8990000"/>
    <n v="12"/>
    <x v="0"/>
  </r>
  <r>
    <s v="[DH213] "/>
    <s v=" Tran Anh Dung "/>
    <n v="935606639"/>
    <n v="12500000"/>
    <n v="2"/>
    <d v="2024-12-15T00:00:00"/>
    <x v="2"/>
    <x v="0"/>
    <x v="19"/>
    <n v="25000000"/>
    <n v="12"/>
    <x v="4"/>
  </r>
  <r>
    <s v="[DH022] "/>
    <s v=" La Minh Xuan "/>
    <n v="987337818"/>
    <n v="150000"/>
    <n v="4"/>
    <d v="2024-12-08T00:00:00"/>
    <x v="0"/>
    <x v="1"/>
    <x v="15"/>
    <n v="600000"/>
    <n v="12"/>
    <x v="7"/>
  </r>
  <r>
    <s v="[DH247] "/>
    <s v=" To Minh Lan "/>
    <n v="960527631"/>
    <n v="15990000"/>
    <n v="2"/>
    <d v="2024-12-25T00:00:00"/>
    <x v="1"/>
    <x v="0"/>
    <x v="5"/>
    <n v="31980000"/>
    <n v="12"/>
    <x v="0"/>
  </r>
  <r>
    <s v="[DH236] "/>
    <s v=" To Ngoc Xuan "/>
    <n v="917749299"/>
    <n v="450000"/>
    <n v="3"/>
    <d v="2024-12-15T00:00:00"/>
    <x v="1"/>
    <x v="1"/>
    <x v="11"/>
    <n v="1350000"/>
    <n v="12"/>
    <x v="4"/>
  </r>
  <r>
    <s v="[DH107] "/>
    <s v=" Nguyen Ngoc Lan "/>
    <n v="983363160"/>
    <n v="15990000"/>
    <n v="2"/>
    <d v="2024-12-03T00:00:00"/>
    <x v="1"/>
    <x v="0"/>
    <x v="5"/>
    <n v="31980000"/>
    <n v="12"/>
    <x v="1"/>
  </r>
  <r>
    <s v="[DH076] "/>
    <s v=" Bui Hong Dung "/>
    <n v="935848226"/>
    <n v="18490000"/>
    <n v="1"/>
    <d v="2024-12-04T00:00:00"/>
    <x v="1"/>
    <x v="2"/>
    <x v="7"/>
    <n v="18490000"/>
    <n v="12"/>
    <x v="1"/>
  </r>
  <r>
    <s v="[DH054] "/>
    <s v=" Ma Minh Son "/>
    <n v="999600766"/>
    <n v="890000"/>
    <n v="3"/>
    <d v="2024-12-18T00:00:00"/>
    <x v="0"/>
    <x v="1"/>
    <x v="23"/>
    <n v="2670000"/>
    <n v="12"/>
    <x v="4"/>
  </r>
  <r>
    <s v="[DH248] "/>
    <s v=" Hoang Ngoc Binh "/>
    <n v="985482164"/>
    <n v="8900000"/>
    <n v="1"/>
    <d v="2024-12-31T00:00:00"/>
    <x v="2"/>
    <x v="2"/>
    <x v="9"/>
    <n v="8900000"/>
    <n v="12"/>
    <x v="5"/>
  </r>
  <r>
    <s v="[DH013] "/>
    <s v=" Cao Kim Yen "/>
    <n v="972820592"/>
    <n v="890000"/>
    <n v="1"/>
    <d v="2024-12-09T00:00:00"/>
    <x v="0"/>
    <x v="1"/>
    <x v="23"/>
    <n v="890000"/>
    <n v="12"/>
    <x v="7"/>
  </r>
  <r>
    <s v="[DH177] "/>
    <s v=" Tran Thanh Lan "/>
    <n v="979173614"/>
    <n v="8990000"/>
    <n v="2"/>
    <d v="2024-12-27T00:00:00"/>
    <x v="0"/>
    <x v="2"/>
    <x v="22"/>
    <n v="17980000"/>
    <n v="12"/>
    <x v="0"/>
  </r>
  <r>
    <s v="[DH078] "/>
    <s v=" Nguyen Hoang Em "/>
    <n v="946817443"/>
    <n v="22990000"/>
    <n v="2"/>
    <d v="2024-12-02T00:00:00"/>
    <x v="0"/>
    <x v="0"/>
    <x v="24"/>
    <n v="45980000"/>
    <n v="12"/>
    <x v="1"/>
  </r>
  <r>
    <s v="[DH257] "/>
    <s v=" Vu Minh Van "/>
    <n v="975540707"/>
    <n v="15990000"/>
    <n v="1"/>
    <d v="2024-12-30T00:00:00"/>
    <x v="2"/>
    <x v="0"/>
    <x v="5"/>
    <n v="15990000"/>
    <n v="12"/>
    <x v="5"/>
  </r>
  <r>
    <s v="[DH238] "/>
    <s v=" Chau Van Lan "/>
    <n v="964877191"/>
    <n v="15990000"/>
    <n v="2"/>
    <d v="2024-12-25T00:00:00"/>
    <x v="1"/>
    <x v="0"/>
    <x v="5"/>
    <n v="31980000"/>
    <n v="12"/>
    <x v="0"/>
  </r>
  <r>
    <s v="[DH201] "/>
    <s v=" Tran Duc Phuc "/>
    <n v="992594562"/>
    <n v="8900000"/>
    <n v="2"/>
    <d v="2024-08-12T00:00:00"/>
    <x v="2"/>
    <x v="2"/>
    <x v="9"/>
    <n v="17800000"/>
    <n v="8"/>
    <x v="3"/>
  </r>
  <r>
    <s v="[DH192] "/>
    <s v=" Duong Thanh Em "/>
    <n v="983994695"/>
    <n v="3990000"/>
    <n v="2"/>
    <d v="2024-12-19T00:00:00"/>
    <x v="2"/>
    <x v="1"/>
    <x v="16"/>
    <n v="7980000"/>
    <n v="12"/>
    <x v="4"/>
  </r>
  <r>
    <s v="[DH229] "/>
    <s v=" Truong Hong An "/>
    <n v="945002007"/>
    <n v="8990000"/>
    <n v="2"/>
    <d v="2024-12-08T00:00:00"/>
    <x v="0"/>
    <x v="2"/>
    <x v="22"/>
    <n v="17980000"/>
    <n v="12"/>
    <x v="7"/>
  </r>
  <r>
    <s v="[DH269] "/>
    <s v=" Truong Anh Yen "/>
    <n v="989941241"/>
    <n v="8990000"/>
    <n v="1"/>
    <d v="2024-12-25T00:00:00"/>
    <x v="1"/>
    <x v="2"/>
    <x v="22"/>
    <n v="8990000"/>
    <n v="12"/>
    <x v="0"/>
  </r>
  <r>
    <s v="[DH266] "/>
    <s v=" Bui Hoang Xuan "/>
    <n v="998329927"/>
    <n v="22990000"/>
    <n v="1"/>
    <d v="2024-12-06T00:00:00"/>
    <x v="0"/>
    <x v="0"/>
    <x v="24"/>
    <n v="22990000"/>
    <n v="12"/>
    <x v="1"/>
  </r>
  <r>
    <s v="[DH262] "/>
    <s v=" Ly Duc Phuc "/>
    <n v="920605783"/>
    <n v="9990000"/>
    <n v="2"/>
    <d v="2024-12-31T00:00:00"/>
    <x v="0"/>
    <x v="2"/>
    <x v="13"/>
    <n v="19980000"/>
    <n v="12"/>
    <x v="5"/>
  </r>
  <r>
    <s v="[DH114] "/>
    <s v=" Ma Thi Em "/>
    <n v="940281491"/>
    <n v="2990000"/>
    <n v="4"/>
    <d v="2024-12-24T00:00:00"/>
    <x v="1"/>
    <x v="1"/>
    <x v="12"/>
    <n v="11960000"/>
    <n v="12"/>
    <x v="0"/>
  </r>
  <r>
    <s v="[DH133] "/>
    <s v=" To Thanh Quynh "/>
    <n v="916904975"/>
    <n v="12500000"/>
    <n v="2"/>
    <d v="2024-12-20T00:00:00"/>
    <x v="2"/>
    <x v="2"/>
    <x v="8"/>
    <n v="25000000"/>
    <n v="12"/>
    <x v="4"/>
  </r>
  <r>
    <s v="[DH006] "/>
    <s v=" Quach Thanh Xuan "/>
    <n v="935808537"/>
    <n v="5290000"/>
    <n v="2"/>
    <d v="2024-03-12T00:00:00"/>
    <x v="2"/>
    <x v="1"/>
    <x v="17"/>
    <n v="10580000"/>
    <n v="3"/>
    <x v="8"/>
  </r>
  <r>
    <s v="[DH055] "/>
    <s v=" Duong Kim Van "/>
    <n v="969849511"/>
    <n v="15990000"/>
    <n v="2"/>
    <d v="2024-12-24T00:00:00"/>
    <x v="0"/>
    <x v="0"/>
    <x v="5"/>
    <n v="31980000"/>
    <n v="12"/>
    <x v="0"/>
  </r>
  <r>
    <s v="[DH221] "/>
    <s v=" Ngo Hong Binh "/>
    <n v="923448342"/>
    <n v="8900000"/>
    <n v="2"/>
    <d v="2024-12-11T00:00:00"/>
    <x v="2"/>
    <x v="2"/>
    <x v="9"/>
    <n v="17800000"/>
    <n v="12"/>
    <x v="7"/>
  </r>
  <r>
    <s v="[DH170] "/>
    <s v=" Dinh Thi Binh "/>
    <n v="942002808"/>
    <n v="8900000"/>
    <n v="2"/>
    <d v="2024-12-21T00:00:00"/>
    <x v="1"/>
    <x v="2"/>
    <x v="9"/>
    <n v="17800000"/>
    <n v="12"/>
    <x v="4"/>
  </r>
  <r>
    <s v="[DH205] "/>
    <s v=" Ly Van Phuc "/>
    <n v="916866268"/>
    <n v="280000"/>
    <n v="3"/>
    <d v="2024-12-18T00:00:00"/>
    <x v="1"/>
    <x v="1"/>
    <x v="20"/>
    <n v="840000"/>
    <n v="12"/>
    <x v="4"/>
  </r>
  <r>
    <s v="[DH023] "/>
    <s v=" To Thanh Quynh "/>
    <n v="965177213"/>
    <n v="350000"/>
    <n v="1"/>
    <d v="2024-12-28T00:00:00"/>
    <x v="0"/>
    <x v="1"/>
    <x v="1"/>
    <n v="350000"/>
    <n v="12"/>
    <x v="0"/>
  </r>
  <r>
    <s v="[DH086] "/>
    <s v=" Hoang Duc Em "/>
    <n v="919584466"/>
    <n v="22990000"/>
    <n v="2"/>
    <d v="2024-12-06T00:00:00"/>
    <x v="0"/>
    <x v="0"/>
    <x v="24"/>
    <n v="45980000"/>
    <n v="12"/>
    <x v="1"/>
  </r>
  <r>
    <s v="[DH182] "/>
    <s v=" Ly Anh Quynh "/>
    <n v="946850196"/>
    <n v="3990000"/>
    <n v="1"/>
    <d v="2024-12-26T00:00:00"/>
    <x v="1"/>
    <x v="1"/>
    <x v="16"/>
    <n v="3990000"/>
    <n v="12"/>
    <x v="0"/>
  </r>
  <r>
    <s v="[DH128] "/>
    <s v=" Quach Minh Cuong "/>
    <n v="926937148"/>
    <n v="6990000"/>
    <n v="2"/>
    <d v="2024-12-20T00:00:00"/>
    <x v="0"/>
    <x v="0"/>
    <x v="18"/>
    <n v="13980000"/>
    <n v="12"/>
    <x v="4"/>
  </r>
  <r>
    <s v="[DH056] "/>
    <s v=" Bui Hoang Tam "/>
    <n v="994120751"/>
    <n v="9990000"/>
    <n v="1"/>
    <d v="2024-12-09T00:00:00"/>
    <x v="1"/>
    <x v="0"/>
    <x v="0"/>
    <n v="9990000"/>
    <n v="12"/>
    <x v="7"/>
  </r>
  <r>
    <s v="[DH275] "/>
    <s v=" Tang Hoang Phuong "/>
    <n v="961100987"/>
    <n v="15990000"/>
    <n v="2"/>
    <d v="2024-12-05T00:00:00"/>
    <x v="2"/>
    <x v="0"/>
    <x v="5"/>
    <n v="31980000"/>
    <n v="12"/>
    <x v="1"/>
  </r>
  <r>
    <s v="[DH185] "/>
    <s v=" Tang Minh Uy "/>
    <n v="959251188"/>
    <n v="8990000"/>
    <n v="2"/>
    <d v="2024-12-11T00:00:00"/>
    <x v="2"/>
    <x v="2"/>
    <x v="22"/>
    <n v="17980000"/>
    <n v="12"/>
    <x v="7"/>
  </r>
  <r>
    <s v="[DH279] "/>
    <s v=" Do Ngoc Minh "/>
    <n v="933842070"/>
    <n v="8990000"/>
    <n v="2"/>
    <d v="2024-12-31T00:00:00"/>
    <x v="1"/>
    <x v="2"/>
    <x v="22"/>
    <n v="17980000"/>
    <n v="12"/>
    <x v="5"/>
  </r>
  <r>
    <s v="[DH215] "/>
    <s v=" Chau Hoang Phuc "/>
    <n v="952111160"/>
    <n v="15990000"/>
    <n v="2"/>
    <d v="2024-12-15T00:00:00"/>
    <x v="0"/>
    <x v="0"/>
    <x v="5"/>
    <n v="31980000"/>
    <n v="12"/>
    <x v="4"/>
  </r>
  <r>
    <s v="[DH260] "/>
    <s v=" La Hoang Quynh "/>
    <n v="911590610"/>
    <n v="12500000"/>
    <n v="2"/>
    <d v="2024-12-17T00:00:00"/>
    <x v="2"/>
    <x v="0"/>
    <x v="19"/>
    <n v="25000000"/>
    <n v="12"/>
    <x v="4"/>
  </r>
  <r>
    <s v="[DH274] "/>
    <s v=" Quach Thanh Phuc "/>
    <n v="911656329"/>
    <n v="12500000"/>
    <n v="1"/>
    <d v="2024-12-14T00:00:00"/>
    <x v="2"/>
    <x v="2"/>
    <x v="8"/>
    <n v="12500000"/>
    <n v="12"/>
    <x v="7"/>
  </r>
  <r>
    <s v="[DH206] "/>
    <s v=" Duong Ngoc Van "/>
    <n v="947543473"/>
    <n v="80000"/>
    <n v="1"/>
    <d v="2024-12-22T00:00:00"/>
    <x v="1"/>
    <x v="1"/>
    <x v="4"/>
    <n v="80000"/>
    <n v="12"/>
    <x v="0"/>
  </r>
  <r>
    <s v="[DH246] "/>
    <s v=" Tang Minh Quynh "/>
    <n v="984605013"/>
    <n v="150000"/>
    <n v="4"/>
    <d v="2024-12-02T00:00:00"/>
    <x v="1"/>
    <x v="1"/>
    <x v="15"/>
    <n v="600000"/>
    <n v="12"/>
    <x v="1"/>
  </r>
  <r>
    <s v="[DH230] "/>
    <s v=" Tang Van Kien "/>
    <n v="997735896"/>
    <n v="9990000"/>
    <n v="1"/>
    <d v="2024-12-23T00:00:00"/>
    <x v="1"/>
    <x v="2"/>
    <x v="13"/>
    <n v="9990000"/>
    <n v="12"/>
    <x v="0"/>
  </r>
  <r>
    <s v="[DH194] "/>
    <s v=" Dinh Thi Kien "/>
    <n v="936347197"/>
    <n v="3990000"/>
    <n v="3"/>
    <d v="2024-12-31T00:00:00"/>
    <x v="0"/>
    <x v="1"/>
    <x v="16"/>
    <n v="11970000"/>
    <n v="12"/>
    <x v="5"/>
  </r>
  <r>
    <s v="[DH217] "/>
    <s v=" Dinh Hong Tam "/>
    <n v="952552488"/>
    <n v="150000"/>
    <n v="3"/>
    <d v="2024-12-12T00:00:00"/>
    <x v="0"/>
    <x v="1"/>
    <x v="15"/>
    <n v="450000"/>
    <n v="12"/>
    <x v="7"/>
  </r>
  <r>
    <s v="[DH079] "/>
    <s v=" Chau Thi An "/>
    <n v="987049595"/>
    <n v="12500000"/>
    <n v="2"/>
    <d v="2024-12-16T00:00:00"/>
    <x v="2"/>
    <x v="2"/>
    <x v="8"/>
    <n v="25000000"/>
    <n v="12"/>
    <x v="4"/>
  </r>
  <r>
    <s v="[DH130] "/>
    <s v=" Do Kim Son "/>
    <n v="940667888"/>
    <n v="8900000"/>
    <n v="2"/>
    <d v="2024-12-11T00:00:00"/>
    <x v="1"/>
    <x v="2"/>
    <x v="9"/>
    <n v="17800000"/>
    <n v="12"/>
    <x v="7"/>
  </r>
  <r>
    <s v="[DH124] "/>
    <s v=" Pham Van Em "/>
    <n v="911994519"/>
    <n v="9990000"/>
    <n v="2"/>
    <d v="2024-12-26T00:00:00"/>
    <x v="2"/>
    <x v="2"/>
    <x v="13"/>
    <n v="19980000"/>
    <n v="12"/>
    <x v="0"/>
  </r>
  <r>
    <s v="[DH156] "/>
    <s v=" Quach Van Minh "/>
    <n v="918846539"/>
    <n v="18490000"/>
    <n v="2"/>
    <d v="2024-12-04T00:00:00"/>
    <x v="0"/>
    <x v="2"/>
    <x v="7"/>
    <n v="36980000"/>
    <n v="12"/>
    <x v="1"/>
  </r>
  <r>
    <s v="[DH072] "/>
    <s v=" Vu Ngoc Giang "/>
    <n v="957623800"/>
    <n v="6990000"/>
    <n v="2"/>
    <d v="2024-12-11T00:00:00"/>
    <x v="2"/>
    <x v="0"/>
    <x v="18"/>
    <n v="13980000"/>
    <n v="1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8F624-5288-442F-8F1F-0B61EE34AE5A}"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53:B59" firstHeaderRow="1" firstDataRow="1" firstDataCol="1"/>
  <pivotFields count="12">
    <pivotField showAll="0"/>
    <pivotField showAll="0"/>
    <pivotField showAll="0"/>
    <pivotField showAll="0"/>
    <pivotField dataField="1" showAll="0"/>
    <pivotField numFmtId="14" showAll="0"/>
    <pivotField showAll="0">
      <items count="4">
        <item h="1" x="2"/>
        <item x="1"/>
        <item h="1" x="0"/>
        <item t="default"/>
      </items>
    </pivotField>
    <pivotField showAll="0">
      <items count="4">
        <item x="0"/>
        <item h="1" x="2"/>
        <item h="1" x="1"/>
        <item t="default"/>
      </items>
    </pivotField>
    <pivotField axis="axisRow" showAll="0" measureFilter="1" sortType="descending">
      <items count="26">
        <item x="16"/>
        <item x="17"/>
        <item x="21"/>
        <item x="15"/>
        <item x="12"/>
        <item x="7"/>
        <item x="8"/>
        <item x="19"/>
        <item x="24"/>
        <item x="6"/>
        <item x="9"/>
        <item x="4"/>
        <item x="1"/>
        <item x="2"/>
        <item x="18"/>
        <item x="20"/>
        <item x="11"/>
        <item x="3"/>
        <item x="14"/>
        <item x="13"/>
        <item x="23"/>
        <item x="10"/>
        <item x="0"/>
        <item x="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6">
    <i>
      <x v="23"/>
    </i>
    <i>
      <x v="22"/>
    </i>
    <i>
      <x v="9"/>
    </i>
    <i>
      <x v="17"/>
    </i>
    <i>
      <x v="8"/>
    </i>
    <i t="grand">
      <x/>
    </i>
  </rowItems>
  <colItems count="1">
    <i/>
  </colItems>
  <dataFields count="1">
    <dataField name="Sum of Qty"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CD0207-3BF8-4BB8-8273-88C360DF40FD}"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1:C44" firstHeaderRow="0" firstDataRow="1" firstDataCol="1"/>
  <pivotFields count="12">
    <pivotField showAll="0"/>
    <pivotField showAll="0"/>
    <pivotField showAll="0"/>
    <pivotField showAll="0"/>
    <pivotField dataField="1" showAll="0"/>
    <pivotField numFmtId="14" showAll="0"/>
    <pivotField showAll="0"/>
    <pivotField showAll="0">
      <items count="4">
        <item x="0"/>
        <item h="1" x="2"/>
        <item h="1" x="1"/>
        <item t="default"/>
      </items>
    </pivotField>
    <pivotField showAll="0"/>
    <pivotField dataField="1" showAll="0"/>
    <pivotField showAll="0"/>
    <pivotField axis="axisRow" showAll="0">
      <items count="16">
        <item x="10"/>
        <item x="6"/>
        <item x="8"/>
        <item x="9"/>
        <item x="12"/>
        <item x="13"/>
        <item x="3"/>
        <item x="11"/>
        <item x="14"/>
        <item x="2"/>
        <item x="1"/>
        <item x="7"/>
        <item x="4"/>
        <item x="0"/>
        <item x="5"/>
        <item t="default"/>
      </items>
    </pivotField>
  </pivotFields>
  <rowFields count="1">
    <field x="11"/>
  </rowFields>
  <rowItems count="13">
    <i>
      <x v="1"/>
    </i>
    <i>
      <x v="2"/>
    </i>
    <i>
      <x v="4"/>
    </i>
    <i>
      <x v="5"/>
    </i>
    <i>
      <x v="6"/>
    </i>
    <i>
      <x v="7"/>
    </i>
    <i>
      <x v="9"/>
    </i>
    <i>
      <x v="10"/>
    </i>
    <i>
      <x v="11"/>
    </i>
    <i>
      <x v="12"/>
    </i>
    <i>
      <x v="13"/>
    </i>
    <i>
      <x v="14"/>
    </i>
    <i t="grand">
      <x/>
    </i>
  </rowItems>
  <colFields count="1">
    <field x="-2"/>
  </colFields>
  <colItems count="2">
    <i>
      <x/>
    </i>
    <i i="1">
      <x v="1"/>
    </i>
  </colItems>
  <dataFields count="2">
    <dataField name="Sum of Doanh_Thu" fld="9" baseField="0" baseItem="0"/>
    <dataField name="Sum of Qty"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EC3858-7EDC-49B3-90FA-0B7064467451}"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9:B21" firstHeaderRow="1" firstDataRow="1" firstDataCol="1"/>
  <pivotFields count="12">
    <pivotField showAll="0"/>
    <pivotField showAll="0"/>
    <pivotField showAll="0"/>
    <pivotField showAll="0"/>
    <pivotField showAll="0"/>
    <pivotField numFmtId="14" showAll="0"/>
    <pivotField showAll="0"/>
    <pivotField axis="axisRow" showAll="0">
      <items count="4">
        <item x="0"/>
        <item h="1" x="2"/>
        <item h="1" x="1"/>
        <item t="default"/>
      </items>
    </pivotField>
    <pivotField showAll="0"/>
    <pivotField dataField="1" showAll="0"/>
    <pivotField showAll="0"/>
    <pivotField showAll="0"/>
  </pivotFields>
  <rowFields count="1">
    <field x="7"/>
  </rowFields>
  <rowItems count="2">
    <i>
      <x/>
    </i>
    <i t="grand">
      <x/>
    </i>
  </rowItems>
  <colItems count="1">
    <i/>
  </colItems>
  <dataFields count="1">
    <dataField name="Sum of Doanh_Thu" fld="9"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15669E-6E8B-457D-9D19-9F2664E5EB81}"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B9" firstHeaderRow="1" firstDataRow="1" firstDataCol="1"/>
  <pivotFields count="12">
    <pivotField showAll="0"/>
    <pivotField showAll="0"/>
    <pivotField showAll="0"/>
    <pivotField showAll="0"/>
    <pivotField showAll="0"/>
    <pivotField numFmtId="14"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4">
        <item x="0"/>
        <item h="1" x="2"/>
        <item h="1" x="1"/>
        <item t="default"/>
      </items>
    </pivotField>
    <pivotField showAll="0"/>
    <pivotField dataField="1" showAll="0"/>
    <pivotField showAll="0"/>
    <pivotField showAll="0"/>
  </pivotFields>
  <rowFields count="1">
    <field x="6"/>
  </rowFields>
  <rowItems count="4">
    <i>
      <x/>
    </i>
    <i>
      <x v="2"/>
    </i>
    <i>
      <x v="1"/>
    </i>
    <i t="grand">
      <x/>
    </i>
  </rowItems>
  <colItems count="1">
    <i/>
  </colItems>
  <dataFields count="1">
    <dataField name="Sum of Doanh_Thu" fld="9" baseField="6" baseItem="0" numFmtId="168"/>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Nhanh" xr10:uid="{4FC26314-53EC-4F13-937D-B054587E8787}" sourceName="Chi_Nhanh">
  <pivotTables>
    <pivotTable tabId="2" name="PivotTable4"/>
  </pivotTables>
  <data>
    <tabular pivotCacheId="334616429">
      <items count="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nh_Muc" xr10:uid="{C287A316-46CB-4D05-99F0-6B4B8C22CB9E}" sourceName="Danh_Muc">
  <pivotTables>
    <pivotTable tabId="2" name="PivotTable4"/>
    <pivotTable tabId="2" name="PivotTable1"/>
    <pivotTable tabId="2" name="PivotTable2"/>
    <pivotTable tabId="2" name="PivotTable3"/>
  </pivotTables>
  <data>
    <tabular pivotCacheId="33461642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_Nhanh" xr10:uid="{866C90A2-6D11-4ADA-AF3D-A1FB50427036}" cache="Slicer_Chi_Nhanh" caption="Chi_Nhanh" rowHeight="234950"/>
  <slicer name="Danh_Muc" xr10:uid="{FE4FA6DE-0D88-4A0E-AACA-F024379660CC}" cache="Slicer_Danh_Muc" caption="Danh_Muc"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9EED05-AB4E-4B08-9578-BD2C77ED4BB1}" name="Table1" displayName="Table1" ref="A1:L281" totalsRowShown="0" headerRowDxfId="0">
  <autoFilter ref="A1:L281" xr:uid="{A59EED05-AB4E-4B08-9578-BD2C77ED4BB1}"/>
  <tableColumns count="12">
    <tableColumn id="1" xr3:uid="{0630C952-5065-44C2-B452-C38BE23CD29C}" name="Ma_Don"/>
    <tableColumn id="2" xr3:uid="{F727B3C4-7EEE-410D-8F0D-C1F445C144C9}" name="Ten_Khach"/>
    <tableColumn id="3" xr3:uid="{ABE55E8B-2029-429D-B5AF-5AFDCA366032}" name="SDT"/>
    <tableColumn id="4" xr3:uid="{60B07776-2FEE-4E4C-A8DE-6567CCB1FF17}" name="Price" dataDxfId="2"/>
    <tableColumn id="5" xr3:uid="{E1A45B4A-E02A-43CA-B94B-08346D2684FE}" name="Qty"/>
    <tableColumn id="6" xr3:uid="{2BBF2BC2-8D33-44FA-AF86-CF53C3501065}" name="Date" dataDxfId="1"/>
    <tableColumn id="7" xr3:uid="{52922426-7FE5-4342-9FC5-290249F7D56C}" name="Chi_Nhanh"/>
    <tableColumn id="8" xr3:uid="{020E5AA9-3880-4A44-B137-FC5513F2BDB5}" name="Danh_Muc"/>
    <tableColumn id="9" xr3:uid="{7A8284AF-32D4-4A39-A8E0-408378351656}" name="Ten_SP"/>
    <tableColumn id="10" xr3:uid="{0CFD26AB-6CB9-4C54-9776-33D5F2A175F0}" name="Doanh_Thu">
      <calculatedColumnFormula>E2*D2</calculatedColumnFormula>
    </tableColumn>
    <tableColumn id="11" xr3:uid="{3A5D0925-EE8E-4A0F-98C3-C4302646B487}" name="Tháng">
      <calculatedColumnFormula>MONTH(F2)</calculatedColumnFormula>
    </tableColumn>
    <tableColumn id="12" xr3:uid="{7F62B618-1E3C-49C3-9FE6-936FC583EBF4}" name="Tuần">
      <calculatedColumnFormula>WEEKNUM(F2)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C4094-B43E-4F6C-BB8F-6FC3742B84D6}">
  <dimension ref="A5:C59"/>
  <sheetViews>
    <sheetView zoomScale="52" zoomScaleNormal="52" workbookViewId="0">
      <selection activeCell="A5" sqref="A5:B9"/>
    </sheetView>
  </sheetViews>
  <sheetFormatPr defaultRowHeight="14.4" x14ac:dyDescent="0.3"/>
  <cols>
    <col min="1" max="1" width="21.44140625" bestFit="1" customWidth="1"/>
    <col min="2" max="2" width="20.109375" bestFit="1" customWidth="1"/>
    <col min="3" max="3" width="12.109375" bestFit="1" customWidth="1"/>
  </cols>
  <sheetData>
    <row r="5" spans="1:2" x14ac:dyDescent="0.3">
      <c r="A5" s="6" t="s">
        <v>594</v>
      </c>
      <c r="B5" t="s">
        <v>596</v>
      </c>
    </row>
    <row r="6" spans="1:2" x14ac:dyDescent="0.3">
      <c r="A6" s="7" t="s">
        <v>8</v>
      </c>
      <c r="B6" s="8">
        <v>1031470000</v>
      </c>
    </row>
    <row r="7" spans="1:2" x14ac:dyDescent="0.3">
      <c r="A7" s="7" t="s">
        <v>6</v>
      </c>
      <c r="B7" s="8">
        <v>821110000</v>
      </c>
    </row>
    <row r="8" spans="1:2" x14ac:dyDescent="0.3">
      <c r="A8" s="7" t="s">
        <v>7</v>
      </c>
      <c r="B8" s="8">
        <v>784580000</v>
      </c>
    </row>
    <row r="9" spans="1:2" x14ac:dyDescent="0.3">
      <c r="A9" s="7" t="s">
        <v>595</v>
      </c>
      <c r="B9" s="8">
        <v>2637160000</v>
      </c>
    </row>
    <row r="19" spans="1:3" x14ac:dyDescent="0.3">
      <c r="A19" s="6" t="s">
        <v>594</v>
      </c>
      <c r="B19" t="s">
        <v>596</v>
      </c>
    </row>
    <row r="20" spans="1:3" x14ac:dyDescent="0.3">
      <c r="A20" s="7" t="s">
        <v>9</v>
      </c>
      <c r="B20" s="3">
        <v>2637160000</v>
      </c>
    </row>
    <row r="21" spans="1:3" x14ac:dyDescent="0.3">
      <c r="A21" s="7" t="s">
        <v>595</v>
      </c>
      <c r="B21" s="3">
        <v>2637160000</v>
      </c>
    </row>
    <row r="31" spans="1:3" x14ac:dyDescent="0.3">
      <c r="A31" s="6" t="s">
        <v>594</v>
      </c>
      <c r="B31" t="s">
        <v>596</v>
      </c>
      <c r="C31" t="s">
        <v>597</v>
      </c>
    </row>
    <row r="32" spans="1:3" x14ac:dyDescent="0.3">
      <c r="A32" s="7">
        <v>7</v>
      </c>
      <c r="B32" s="3">
        <v>76980000</v>
      </c>
      <c r="C32" s="3">
        <v>4</v>
      </c>
    </row>
    <row r="33" spans="1:3" x14ac:dyDescent="0.3">
      <c r="A33" s="7">
        <v>11</v>
      </c>
      <c r="B33" s="3">
        <v>37500000</v>
      </c>
      <c r="C33" s="3">
        <v>3</v>
      </c>
    </row>
    <row r="34" spans="1:3" x14ac:dyDescent="0.3">
      <c r="A34" s="7">
        <v>20</v>
      </c>
      <c r="B34" s="3">
        <v>51980000</v>
      </c>
      <c r="C34" s="3">
        <v>2</v>
      </c>
    </row>
    <row r="35" spans="1:3" x14ac:dyDescent="0.3">
      <c r="A35" s="7">
        <v>28</v>
      </c>
      <c r="B35" s="3">
        <v>18990000</v>
      </c>
      <c r="C35" s="3">
        <v>1</v>
      </c>
    </row>
    <row r="36" spans="1:3" x14ac:dyDescent="0.3">
      <c r="A36" s="7">
        <v>33</v>
      </c>
      <c r="B36" s="3">
        <v>18990000</v>
      </c>
      <c r="C36" s="3">
        <v>1</v>
      </c>
    </row>
    <row r="37" spans="1:3" x14ac:dyDescent="0.3">
      <c r="A37" s="7">
        <v>37</v>
      </c>
      <c r="B37" s="3">
        <v>25990000</v>
      </c>
      <c r="C37" s="3">
        <v>1</v>
      </c>
    </row>
    <row r="38" spans="1:3" x14ac:dyDescent="0.3">
      <c r="A38" s="7">
        <v>46</v>
      </c>
      <c r="B38" s="3">
        <v>37980000</v>
      </c>
      <c r="C38" s="3">
        <v>2</v>
      </c>
    </row>
    <row r="39" spans="1:3" x14ac:dyDescent="0.3">
      <c r="A39" s="7">
        <v>49</v>
      </c>
      <c r="B39" s="3">
        <v>376790000</v>
      </c>
      <c r="C39" s="3">
        <v>21</v>
      </c>
    </row>
    <row r="40" spans="1:3" x14ac:dyDescent="0.3">
      <c r="A40" s="7">
        <v>50</v>
      </c>
      <c r="B40" s="3">
        <v>434750000</v>
      </c>
      <c r="C40" s="3">
        <v>25</v>
      </c>
    </row>
    <row r="41" spans="1:3" x14ac:dyDescent="0.3">
      <c r="A41" s="7">
        <v>51</v>
      </c>
      <c r="B41" s="3">
        <v>709180000</v>
      </c>
      <c r="C41" s="3">
        <v>39</v>
      </c>
    </row>
    <row r="42" spans="1:3" x14ac:dyDescent="0.3">
      <c r="A42" s="7">
        <v>52</v>
      </c>
      <c r="B42" s="3">
        <v>665600000</v>
      </c>
      <c r="C42" s="3">
        <v>42</v>
      </c>
    </row>
    <row r="43" spans="1:3" x14ac:dyDescent="0.3">
      <c r="A43" s="7">
        <v>53</v>
      </c>
      <c r="B43" s="3">
        <v>182430000</v>
      </c>
      <c r="C43" s="3">
        <v>8</v>
      </c>
    </row>
    <row r="44" spans="1:3" x14ac:dyDescent="0.3">
      <c r="A44" s="7" t="s">
        <v>595</v>
      </c>
      <c r="B44" s="3">
        <v>2637160000</v>
      </c>
      <c r="C44" s="3">
        <v>149</v>
      </c>
    </row>
    <row r="53" spans="1:2" x14ac:dyDescent="0.3">
      <c r="A53" s="6" t="s">
        <v>594</v>
      </c>
      <c r="B53" t="s">
        <v>597</v>
      </c>
    </row>
    <row r="54" spans="1:2" x14ac:dyDescent="0.3">
      <c r="A54" s="7" t="s">
        <v>17</v>
      </c>
      <c r="B54" s="3">
        <v>9</v>
      </c>
    </row>
    <row r="55" spans="1:2" x14ac:dyDescent="0.3">
      <c r="A55" s="7" t="s">
        <v>12</v>
      </c>
      <c r="B55" s="3">
        <v>9</v>
      </c>
    </row>
    <row r="56" spans="1:2" x14ac:dyDescent="0.3">
      <c r="A56" s="7" t="s">
        <v>18</v>
      </c>
      <c r="B56" s="3">
        <v>7</v>
      </c>
    </row>
    <row r="57" spans="1:2" x14ac:dyDescent="0.3">
      <c r="A57" s="7" t="s">
        <v>15</v>
      </c>
      <c r="B57" s="3">
        <v>6</v>
      </c>
    </row>
    <row r="58" spans="1:2" x14ac:dyDescent="0.3">
      <c r="A58" s="7" t="s">
        <v>36</v>
      </c>
      <c r="B58" s="3">
        <v>4</v>
      </c>
    </row>
    <row r="59" spans="1:2" x14ac:dyDescent="0.3">
      <c r="A59" s="7" t="s">
        <v>595</v>
      </c>
      <c r="B59" s="3">
        <v>35</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82EE3-ADFB-4DC4-A230-375D721F6DEC}">
  <dimension ref="A1:V3"/>
  <sheetViews>
    <sheetView showGridLines="0" tabSelected="1" zoomScale="70" zoomScaleNormal="70" workbookViewId="0">
      <selection activeCell="R38" sqref="R38"/>
    </sheetView>
  </sheetViews>
  <sheetFormatPr defaultRowHeight="14.4" x14ac:dyDescent="0.3"/>
  <cols>
    <col min="1" max="16384" width="8.88671875" style="10"/>
  </cols>
  <sheetData>
    <row r="1" spans="1:22" ht="24.6" customHeight="1" x14ac:dyDescent="0.3">
      <c r="A1" s="11" t="s">
        <v>602</v>
      </c>
      <c r="B1" s="11"/>
      <c r="C1" s="11"/>
      <c r="D1" s="11"/>
      <c r="E1" s="11"/>
      <c r="F1" s="11"/>
      <c r="G1" s="11"/>
      <c r="H1" s="11"/>
      <c r="I1" s="11"/>
      <c r="J1" s="11"/>
      <c r="K1" s="11"/>
      <c r="L1" s="11"/>
      <c r="M1" s="11"/>
      <c r="N1" s="11"/>
      <c r="O1" s="11"/>
      <c r="P1" s="11"/>
      <c r="Q1" s="11"/>
      <c r="R1" s="12"/>
      <c r="S1" s="12"/>
      <c r="T1" s="12"/>
      <c r="U1" s="12"/>
      <c r="V1" s="12"/>
    </row>
    <row r="2" spans="1:22" ht="14.4" customHeight="1" x14ac:dyDescent="0.3">
      <c r="A2" s="11"/>
      <c r="B2" s="11"/>
      <c r="C2" s="11"/>
      <c r="D2" s="11"/>
      <c r="E2" s="11"/>
      <c r="F2" s="11"/>
      <c r="G2" s="11"/>
      <c r="H2" s="11"/>
      <c r="I2" s="11"/>
      <c r="J2" s="11"/>
      <c r="K2" s="11"/>
      <c r="L2" s="11"/>
      <c r="M2" s="11"/>
      <c r="N2" s="11"/>
      <c r="O2" s="11"/>
      <c r="P2" s="11"/>
      <c r="Q2" s="11"/>
      <c r="R2" s="12"/>
      <c r="S2" s="12"/>
      <c r="T2" s="12"/>
      <c r="U2" s="12"/>
      <c r="V2" s="12"/>
    </row>
    <row r="3" spans="1:22" ht="14.4" customHeight="1" x14ac:dyDescent="0.3">
      <c r="A3" s="11"/>
      <c r="B3" s="11"/>
      <c r="C3" s="11"/>
      <c r="D3" s="11"/>
      <c r="E3" s="11"/>
      <c r="F3" s="11"/>
      <c r="G3" s="11"/>
      <c r="H3" s="11"/>
      <c r="I3" s="11"/>
      <c r="J3" s="11"/>
      <c r="K3" s="11"/>
      <c r="L3" s="11"/>
      <c r="M3" s="11"/>
      <c r="N3" s="11"/>
      <c r="O3" s="11"/>
      <c r="P3" s="11"/>
      <c r="Q3" s="11"/>
      <c r="R3" s="12"/>
      <c r="S3" s="12"/>
      <c r="T3" s="12"/>
      <c r="U3" s="12"/>
      <c r="V3" s="12"/>
    </row>
  </sheetData>
  <mergeCells count="1">
    <mergeCell ref="A1:Q3"/>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1"/>
  <sheetViews>
    <sheetView topLeftCell="C1" zoomScale="70" zoomScaleNormal="70" workbookViewId="0">
      <selection activeCell="O5" sqref="O5"/>
    </sheetView>
  </sheetViews>
  <sheetFormatPr defaultRowHeight="14.4" x14ac:dyDescent="0.3"/>
  <cols>
    <col min="1" max="1" width="10.109375" customWidth="1"/>
    <col min="2" max="2" width="21.6640625" customWidth="1"/>
    <col min="3" max="3" width="12.77734375" customWidth="1"/>
    <col min="4" max="4" width="12.44140625" customWidth="1"/>
    <col min="5" max="5" width="10.5546875" customWidth="1"/>
    <col min="6" max="6" width="15.109375" customWidth="1"/>
    <col min="7" max="7" width="13.21875" customWidth="1"/>
    <col min="8" max="8" width="15.6640625" customWidth="1"/>
    <col min="9" max="9" width="24.6640625" customWidth="1"/>
    <col min="10" max="10" width="15" customWidth="1"/>
    <col min="11" max="11" width="10.109375" customWidth="1"/>
    <col min="12" max="12" width="9.33203125" customWidth="1"/>
    <col min="14" max="14" width="36.109375" customWidth="1"/>
    <col min="15" max="15" width="15.5546875" customWidth="1"/>
  </cols>
  <sheetData>
    <row r="1" spans="1:15" x14ac:dyDescent="0.3">
      <c r="A1" s="1" t="s">
        <v>588</v>
      </c>
      <c r="B1" s="1" t="s">
        <v>589</v>
      </c>
      <c r="C1" s="1" t="s">
        <v>590</v>
      </c>
      <c r="D1" s="2" t="s">
        <v>0</v>
      </c>
      <c r="E1" s="2" t="s">
        <v>1</v>
      </c>
      <c r="F1" s="1" t="s">
        <v>2</v>
      </c>
      <c r="G1" s="1" t="s">
        <v>3</v>
      </c>
      <c r="H1" s="1" t="s">
        <v>4</v>
      </c>
      <c r="I1" s="1" t="s">
        <v>5</v>
      </c>
      <c r="J1" s="1" t="s">
        <v>591</v>
      </c>
      <c r="K1" s="1" t="s">
        <v>592</v>
      </c>
      <c r="L1" s="1" t="s">
        <v>593</v>
      </c>
    </row>
    <row r="2" spans="1:15" x14ac:dyDescent="0.3">
      <c r="A2" t="s">
        <v>37</v>
      </c>
      <c r="B2" t="s">
        <v>38</v>
      </c>
      <c r="C2">
        <v>948824283</v>
      </c>
      <c r="D2" s="3">
        <v>9990000</v>
      </c>
      <c r="E2">
        <v>2</v>
      </c>
      <c r="F2" s="5">
        <v>45653</v>
      </c>
      <c r="G2" t="s">
        <v>6</v>
      </c>
      <c r="H2" t="s">
        <v>9</v>
      </c>
      <c r="I2" t="s">
        <v>12</v>
      </c>
      <c r="J2">
        <f>E2*D2</f>
        <v>19980000</v>
      </c>
      <c r="K2">
        <f>MONTH(F2)</f>
        <v>12</v>
      </c>
      <c r="L2">
        <f>WEEKNUM(F2)</f>
        <v>52</v>
      </c>
    </row>
    <row r="3" spans="1:15" x14ac:dyDescent="0.3">
      <c r="A3" t="s">
        <v>39</v>
      </c>
      <c r="B3" t="s">
        <v>40</v>
      </c>
      <c r="C3">
        <v>930261159</v>
      </c>
      <c r="D3" s="3">
        <v>350000</v>
      </c>
      <c r="E3">
        <v>4</v>
      </c>
      <c r="F3" s="5">
        <v>45629</v>
      </c>
      <c r="G3" t="s">
        <v>7</v>
      </c>
      <c r="H3" t="s">
        <v>10</v>
      </c>
      <c r="I3" t="s">
        <v>13</v>
      </c>
      <c r="J3">
        <f t="shared" ref="J3:J66" si="0">E3*D3</f>
        <v>1400000</v>
      </c>
      <c r="K3">
        <f t="shared" ref="K3:K66" si="1">MONTH(F3)</f>
        <v>12</v>
      </c>
      <c r="L3">
        <f t="shared" ref="L3:L66" si="2">WEEKNUM(F3)</f>
        <v>49</v>
      </c>
      <c r="N3" s="9" t="s">
        <v>598</v>
      </c>
      <c r="O3">
        <f>SUM(Table1[Doanh_Thu])</f>
        <v>4291660000</v>
      </c>
    </row>
    <row r="4" spans="1:15" x14ac:dyDescent="0.3">
      <c r="A4" t="s">
        <v>41</v>
      </c>
      <c r="B4" t="s">
        <v>42</v>
      </c>
      <c r="C4">
        <v>930456313</v>
      </c>
      <c r="D4" s="3">
        <v>18990000</v>
      </c>
      <c r="E4">
        <v>2</v>
      </c>
      <c r="F4" s="5">
        <v>45608</v>
      </c>
      <c r="G4" t="s">
        <v>7</v>
      </c>
      <c r="H4" t="s">
        <v>9</v>
      </c>
      <c r="I4" t="s">
        <v>14</v>
      </c>
      <c r="J4">
        <f t="shared" si="0"/>
        <v>37980000</v>
      </c>
      <c r="K4">
        <f t="shared" si="1"/>
        <v>11</v>
      </c>
      <c r="L4">
        <f t="shared" si="2"/>
        <v>46</v>
      </c>
      <c r="N4" s="9" t="s">
        <v>599</v>
      </c>
      <c r="O4">
        <f>COUNTA(Table1[Ma_Don])</f>
        <v>280</v>
      </c>
    </row>
    <row r="5" spans="1:15" x14ac:dyDescent="0.3">
      <c r="A5" t="s">
        <v>43</v>
      </c>
      <c r="B5" t="s">
        <v>44</v>
      </c>
      <c r="C5">
        <v>942868828</v>
      </c>
      <c r="D5" s="3">
        <v>9990000</v>
      </c>
      <c r="E5">
        <v>1</v>
      </c>
      <c r="F5" s="5">
        <v>45631</v>
      </c>
      <c r="G5" t="s">
        <v>6</v>
      </c>
      <c r="H5" t="s">
        <v>9</v>
      </c>
      <c r="I5" t="s">
        <v>12</v>
      </c>
      <c r="J5">
        <f t="shared" si="0"/>
        <v>9990000</v>
      </c>
      <c r="K5">
        <f t="shared" si="1"/>
        <v>12</v>
      </c>
      <c r="L5">
        <f t="shared" si="2"/>
        <v>49</v>
      </c>
      <c r="N5" s="9" t="s">
        <v>600</v>
      </c>
      <c r="O5" s="4">
        <f>O3/O4</f>
        <v>15327357.142857144</v>
      </c>
    </row>
    <row r="6" spans="1:15" x14ac:dyDescent="0.3">
      <c r="A6" t="s">
        <v>45</v>
      </c>
      <c r="B6" t="s">
        <v>46</v>
      </c>
      <c r="C6">
        <v>955540424</v>
      </c>
      <c r="D6" s="3">
        <v>18990000</v>
      </c>
      <c r="E6">
        <v>1</v>
      </c>
      <c r="F6" s="5">
        <v>45516</v>
      </c>
      <c r="G6" t="s">
        <v>7</v>
      </c>
      <c r="H6" t="s">
        <v>9</v>
      </c>
      <c r="I6" t="s">
        <v>15</v>
      </c>
      <c r="J6">
        <f t="shared" si="0"/>
        <v>18990000</v>
      </c>
      <c r="K6">
        <f t="shared" si="1"/>
        <v>8</v>
      </c>
      <c r="L6">
        <f t="shared" si="2"/>
        <v>33</v>
      </c>
      <c r="N6" s="9" t="s">
        <v>601</v>
      </c>
    </row>
    <row r="7" spans="1:15" x14ac:dyDescent="0.3">
      <c r="A7" t="s">
        <v>47</v>
      </c>
      <c r="B7" t="s">
        <v>48</v>
      </c>
      <c r="C7">
        <v>986230551</v>
      </c>
      <c r="D7" s="3">
        <v>80000</v>
      </c>
      <c r="E7">
        <v>3</v>
      </c>
      <c r="F7" s="5">
        <v>45630</v>
      </c>
      <c r="G7" t="s">
        <v>6</v>
      </c>
      <c r="H7" t="s">
        <v>10</v>
      </c>
      <c r="I7" t="s">
        <v>16</v>
      </c>
      <c r="J7">
        <f t="shared" si="0"/>
        <v>240000</v>
      </c>
      <c r="K7">
        <f t="shared" si="1"/>
        <v>12</v>
      </c>
      <c r="L7">
        <f t="shared" si="2"/>
        <v>49</v>
      </c>
    </row>
    <row r="8" spans="1:15" x14ac:dyDescent="0.3">
      <c r="A8" t="s">
        <v>49</v>
      </c>
      <c r="B8" t="s">
        <v>50</v>
      </c>
      <c r="C8">
        <v>916323852</v>
      </c>
      <c r="D8" s="3">
        <v>18990000</v>
      </c>
      <c r="E8">
        <v>1</v>
      </c>
      <c r="F8" s="5">
        <v>45631</v>
      </c>
      <c r="G8" t="s">
        <v>8</v>
      </c>
      <c r="H8" t="s">
        <v>9</v>
      </c>
      <c r="I8" t="s">
        <v>15</v>
      </c>
      <c r="J8">
        <f t="shared" si="0"/>
        <v>18990000</v>
      </c>
      <c r="K8">
        <f t="shared" si="1"/>
        <v>12</v>
      </c>
      <c r="L8">
        <f t="shared" si="2"/>
        <v>49</v>
      </c>
    </row>
    <row r="9" spans="1:15" x14ac:dyDescent="0.3">
      <c r="A9" t="s">
        <v>51</v>
      </c>
      <c r="B9" t="s">
        <v>52</v>
      </c>
      <c r="C9">
        <v>981286543</v>
      </c>
      <c r="D9" s="3">
        <v>15990000</v>
      </c>
      <c r="E9">
        <v>1</v>
      </c>
      <c r="F9" s="5">
        <v>45628</v>
      </c>
      <c r="G9" t="s">
        <v>8</v>
      </c>
      <c r="H9" t="s">
        <v>9</v>
      </c>
      <c r="I9" t="s">
        <v>17</v>
      </c>
      <c r="J9">
        <f t="shared" si="0"/>
        <v>15990000</v>
      </c>
      <c r="K9">
        <f t="shared" si="1"/>
        <v>12</v>
      </c>
      <c r="L9">
        <f t="shared" si="2"/>
        <v>49</v>
      </c>
    </row>
    <row r="10" spans="1:15" x14ac:dyDescent="0.3">
      <c r="A10" t="s">
        <v>53</v>
      </c>
      <c r="B10" t="s">
        <v>54</v>
      </c>
      <c r="C10">
        <v>936619372</v>
      </c>
      <c r="D10" s="3">
        <v>28990000</v>
      </c>
      <c r="E10">
        <v>1</v>
      </c>
      <c r="F10" s="5">
        <v>45645</v>
      </c>
      <c r="G10" t="s">
        <v>7</v>
      </c>
      <c r="H10" t="s">
        <v>9</v>
      </c>
      <c r="I10" t="s">
        <v>18</v>
      </c>
      <c r="J10">
        <f t="shared" si="0"/>
        <v>28990000</v>
      </c>
      <c r="K10">
        <f t="shared" si="1"/>
        <v>12</v>
      </c>
      <c r="L10">
        <f t="shared" si="2"/>
        <v>51</v>
      </c>
    </row>
    <row r="11" spans="1:15" x14ac:dyDescent="0.3">
      <c r="A11" t="s">
        <v>55</v>
      </c>
      <c r="B11" t="s">
        <v>56</v>
      </c>
      <c r="C11">
        <v>918593410</v>
      </c>
      <c r="D11" s="3">
        <v>18490000</v>
      </c>
      <c r="E11">
        <v>1</v>
      </c>
      <c r="F11" s="5">
        <v>45627</v>
      </c>
      <c r="G11" t="s">
        <v>8</v>
      </c>
      <c r="H11" t="s">
        <v>11</v>
      </c>
      <c r="I11" t="s">
        <v>19</v>
      </c>
      <c r="J11">
        <f t="shared" si="0"/>
        <v>18490000</v>
      </c>
      <c r="K11">
        <f t="shared" si="1"/>
        <v>12</v>
      </c>
      <c r="L11">
        <f t="shared" si="2"/>
        <v>49</v>
      </c>
    </row>
    <row r="12" spans="1:15" x14ac:dyDescent="0.3">
      <c r="A12" t="s">
        <v>57</v>
      </c>
      <c r="B12" t="s">
        <v>58</v>
      </c>
      <c r="C12">
        <v>942100652</v>
      </c>
      <c r="D12" s="3">
        <v>12500000</v>
      </c>
      <c r="E12">
        <v>1</v>
      </c>
      <c r="F12" s="5">
        <v>45657</v>
      </c>
      <c r="G12" t="s">
        <v>6</v>
      </c>
      <c r="H12" t="s">
        <v>11</v>
      </c>
      <c r="I12" t="s">
        <v>20</v>
      </c>
      <c r="J12">
        <f t="shared" si="0"/>
        <v>12500000</v>
      </c>
      <c r="K12">
        <f t="shared" si="1"/>
        <v>12</v>
      </c>
      <c r="L12">
        <f t="shared" si="2"/>
        <v>53</v>
      </c>
    </row>
    <row r="13" spans="1:15" x14ac:dyDescent="0.3">
      <c r="A13" t="s">
        <v>59</v>
      </c>
      <c r="B13" t="s">
        <v>60</v>
      </c>
      <c r="C13">
        <v>993446356</v>
      </c>
      <c r="D13" s="3">
        <v>80000</v>
      </c>
      <c r="E13">
        <v>5</v>
      </c>
      <c r="F13" s="5">
        <v>45648</v>
      </c>
      <c r="G13" t="s">
        <v>6</v>
      </c>
      <c r="H13" t="s">
        <v>10</v>
      </c>
      <c r="I13" t="s">
        <v>16</v>
      </c>
      <c r="J13">
        <f t="shared" si="0"/>
        <v>400000</v>
      </c>
      <c r="K13">
        <f t="shared" si="1"/>
        <v>12</v>
      </c>
      <c r="L13">
        <f t="shared" si="2"/>
        <v>52</v>
      </c>
    </row>
    <row r="14" spans="1:15" x14ac:dyDescent="0.3">
      <c r="A14" t="s">
        <v>61</v>
      </c>
      <c r="B14" t="s">
        <v>62</v>
      </c>
      <c r="C14">
        <v>932321899</v>
      </c>
      <c r="D14" s="3">
        <v>8900000</v>
      </c>
      <c r="E14">
        <v>1</v>
      </c>
      <c r="F14" s="5">
        <v>45642</v>
      </c>
      <c r="G14" t="s">
        <v>8</v>
      </c>
      <c r="H14" t="s">
        <v>11</v>
      </c>
      <c r="I14" t="s">
        <v>21</v>
      </c>
      <c r="J14">
        <f t="shared" si="0"/>
        <v>8900000</v>
      </c>
      <c r="K14">
        <f t="shared" si="1"/>
        <v>12</v>
      </c>
      <c r="L14">
        <f t="shared" si="2"/>
        <v>51</v>
      </c>
    </row>
    <row r="15" spans="1:15" x14ac:dyDescent="0.3">
      <c r="A15" t="s">
        <v>63</v>
      </c>
      <c r="B15" t="s">
        <v>52</v>
      </c>
      <c r="C15">
        <v>999541016</v>
      </c>
      <c r="D15" s="3">
        <v>12500000</v>
      </c>
      <c r="E15">
        <v>2</v>
      </c>
      <c r="F15" s="5">
        <v>45334</v>
      </c>
      <c r="G15" t="s">
        <v>8</v>
      </c>
      <c r="H15" t="s">
        <v>11</v>
      </c>
      <c r="I15" t="s">
        <v>20</v>
      </c>
      <c r="J15">
        <f t="shared" si="0"/>
        <v>25000000</v>
      </c>
      <c r="K15">
        <f t="shared" si="1"/>
        <v>2</v>
      </c>
      <c r="L15">
        <f t="shared" si="2"/>
        <v>7</v>
      </c>
    </row>
    <row r="16" spans="1:15" x14ac:dyDescent="0.3">
      <c r="A16" t="s">
        <v>64</v>
      </c>
      <c r="B16" t="s">
        <v>65</v>
      </c>
      <c r="C16">
        <v>972270726</v>
      </c>
      <c r="D16" s="3">
        <v>190000</v>
      </c>
      <c r="E16">
        <v>4</v>
      </c>
      <c r="F16" s="5">
        <v>45645</v>
      </c>
      <c r="G16" t="s">
        <v>6</v>
      </c>
      <c r="H16" t="s">
        <v>10</v>
      </c>
      <c r="I16" t="s">
        <v>22</v>
      </c>
      <c r="J16">
        <f t="shared" si="0"/>
        <v>760000</v>
      </c>
      <c r="K16">
        <f t="shared" si="1"/>
        <v>12</v>
      </c>
      <c r="L16">
        <f t="shared" si="2"/>
        <v>51</v>
      </c>
    </row>
    <row r="17" spans="1:12" x14ac:dyDescent="0.3">
      <c r="A17" t="s">
        <v>66</v>
      </c>
      <c r="B17" t="s">
        <v>67</v>
      </c>
      <c r="C17">
        <v>939587039</v>
      </c>
      <c r="D17" s="3">
        <v>350000</v>
      </c>
      <c r="E17">
        <v>1</v>
      </c>
      <c r="F17" s="5">
        <v>45645</v>
      </c>
      <c r="G17" t="s">
        <v>7</v>
      </c>
      <c r="H17" t="s">
        <v>10</v>
      </c>
      <c r="I17" t="s">
        <v>13</v>
      </c>
      <c r="J17">
        <f t="shared" si="0"/>
        <v>350000</v>
      </c>
      <c r="K17">
        <f t="shared" si="1"/>
        <v>12</v>
      </c>
      <c r="L17">
        <f t="shared" si="2"/>
        <v>51</v>
      </c>
    </row>
    <row r="18" spans="1:12" x14ac:dyDescent="0.3">
      <c r="A18" t="s">
        <v>68</v>
      </c>
      <c r="B18" t="s">
        <v>69</v>
      </c>
      <c r="C18">
        <v>977172238</v>
      </c>
      <c r="D18" s="3">
        <v>450000</v>
      </c>
      <c r="E18">
        <v>1</v>
      </c>
      <c r="F18" s="5">
        <v>45642</v>
      </c>
      <c r="G18" t="s">
        <v>7</v>
      </c>
      <c r="H18" t="s">
        <v>10</v>
      </c>
      <c r="I18" t="s">
        <v>23</v>
      </c>
      <c r="J18">
        <f t="shared" si="0"/>
        <v>450000</v>
      </c>
      <c r="K18">
        <f t="shared" si="1"/>
        <v>12</v>
      </c>
      <c r="L18">
        <f t="shared" si="2"/>
        <v>51</v>
      </c>
    </row>
    <row r="19" spans="1:12" x14ac:dyDescent="0.3">
      <c r="A19" t="s">
        <v>70</v>
      </c>
      <c r="B19" t="s">
        <v>71</v>
      </c>
      <c r="C19">
        <v>919183277</v>
      </c>
      <c r="D19" s="3">
        <v>9990000</v>
      </c>
      <c r="E19">
        <v>2</v>
      </c>
      <c r="F19" s="5">
        <v>45647</v>
      </c>
      <c r="G19" t="s">
        <v>7</v>
      </c>
      <c r="H19" t="s">
        <v>9</v>
      </c>
      <c r="I19" t="s">
        <v>12</v>
      </c>
      <c r="J19">
        <f t="shared" si="0"/>
        <v>19980000</v>
      </c>
      <c r="K19">
        <f t="shared" si="1"/>
        <v>12</v>
      </c>
      <c r="L19">
        <f t="shared" si="2"/>
        <v>51</v>
      </c>
    </row>
    <row r="20" spans="1:12" x14ac:dyDescent="0.3">
      <c r="A20" t="s">
        <v>72</v>
      </c>
      <c r="B20" t="s">
        <v>73</v>
      </c>
      <c r="C20">
        <v>910344303</v>
      </c>
      <c r="D20" s="3">
        <v>12500000</v>
      </c>
      <c r="E20">
        <v>2</v>
      </c>
      <c r="F20" s="5">
        <v>45650</v>
      </c>
      <c r="G20" t="s">
        <v>7</v>
      </c>
      <c r="H20" t="s">
        <v>11</v>
      </c>
      <c r="I20" t="s">
        <v>20</v>
      </c>
      <c r="J20">
        <f t="shared" si="0"/>
        <v>25000000</v>
      </c>
      <c r="K20">
        <f t="shared" si="1"/>
        <v>12</v>
      </c>
      <c r="L20">
        <f t="shared" si="2"/>
        <v>52</v>
      </c>
    </row>
    <row r="21" spans="1:12" x14ac:dyDescent="0.3">
      <c r="A21" t="s">
        <v>74</v>
      </c>
      <c r="B21" t="s">
        <v>75</v>
      </c>
      <c r="C21">
        <v>923335151</v>
      </c>
      <c r="D21" s="3">
        <v>2990000</v>
      </c>
      <c r="E21">
        <v>3</v>
      </c>
      <c r="F21" s="5">
        <v>45638</v>
      </c>
      <c r="G21" t="s">
        <v>8</v>
      </c>
      <c r="H21" t="s">
        <v>10</v>
      </c>
      <c r="I21" t="s">
        <v>24</v>
      </c>
      <c r="J21">
        <f t="shared" si="0"/>
        <v>8970000</v>
      </c>
      <c r="K21">
        <f t="shared" si="1"/>
        <v>12</v>
      </c>
      <c r="L21">
        <f t="shared" si="2"/>
        <v>50</v>
      </c>
    </row>
    <row r="22" spans="1:12" x14ac:dyDescent="0.3">
      <c r="A22" t="s">
        <v>76</v>
      </c>
      <c r="B22" t="s">
        <v>77</v>
      </c>
      <c r="C22">
        <v>978248169</v>
      </c>
      <c r="D22" s="3">
        <v>9990000</v>
      </c>
      <c r="E22">
        <v>2</v>
      </c>
      <c r="F22" s="5">
        <v>45627</v>
      </c>
      <c r="G22" t="s">
        <v>7</v>
      </c>
      <c r="H22" t="s">
        <v>11</v>
      </c>
      <c r="I22" t="s">
        <v>25</v>
      </c>
      <c r="J22">
        <f t="shared" si="0"/>
        <v>19980000</v>
      </c>
      <c r="K22">
        <f t="shared" si="1"/>
        <v>12</v>
      </c>
      <c r="L22">
        <f t="shared" si="2"/>
        <v>49</v>
      </c>
    </row>
    <row r="23" spans="1:12" x14ac:dyDescent="0.3">
      <c r="A23" t="s">
        <v>78</v>
      </c>
      <c r="B23" t="s">
        <v>79</v>
      </c>
      <c r="C23">
        <v>984252420</v>
      </c>
      <c r="D23" s="3">
        <v>25990000</v>
      </c>
      <c r="E23">
        <v>1</v>
      </c>
      <c r="F23" s="5">
        <v>45635</v>
      </c>
      <c r="G23" t="s">
        <v>6</v>
      </c>
      <c r="H23" t="s">
        <v>9</v>
      </c>
      <c r="I23" t="s">
        <v>26</v>
      </c>
      <c r="J23">
        <f t="shared" si="0"/>
        <v>25990000</v>
      </c>
      <c r="K23">
        <f t="shared" si="1"/>
        <v>12</v>
      </c>
      <c r="L23">
        <f t="shared" si="2"/>
        <v>50</v>
      </c>
    </row>
    <row r="24" spans="1:12" x14ac:dyDescent="0.3">
      <c r="A24" t="s">
        <v>80</v>
      </c>
      <c r="B24" t="s">
        <v>81</v>
      </c>
      <c r="C24">
        <v>926587799</v>
      </c>
      <c r="D24" s="3">
        <v>350000</v>
      </c>
      <c r="E24">
        <v>3</v>
      </c>
      <c r="F24" s="5">
        <v>45638</v>
      </c>
      <c r="G24" t="s">
        <v>6</v>
      </c>
      <c r="H24" t="s">
        <v>10</v>
      </c>
      <c r="I24" t="s">
        <v>13</v>
      </c>
      <c r="J24">
        <f t="shared" si="0"/>
        <v>1050000</v>
      </c>
      <c r="K24">
        <f t="shared" si="1"/>
        <v>12</v>
      </c>
      <c r="L24">
        <f t="shared" si="2"/>
        <v>50</v>
      </c>
    </row>
    <row r="25" spans="1:12" x14ac:dyDescent="0.3">
      <c r="A25" t="s">
        <v>82</v>
      </c>
      <c r="B25" t="s">
        <v>83</v>
      </c>
      <c r="C25">
        <v>950237208</v>
      </c>
      <c r="D25" s="3">
        <v>150000</v>
      </c>
      <c r="E25">
        <v>3</v>
      </c>
      <c r="F25" s="5">
        <v>45653</v>
      </c>
      <c r="G25" t="s">
        <v>7</v>
      </c>
      <c r="H25" t="s">
        <v>10</v>
      </c>
      <c r="I25" t="s">
        <v>27</v>
      </c>
      <c r="J25">
        <f t="shared" si="0"/>
        <v>450000</v>
      </c>
      <c r="K25">
        <f t="shared" si="1"/>
        <v>12</v>
      </c>
      <c r="L25">
        <f t="shared" si="2"/>
        <v>52</v>
      </c>
    </row>
    <row r="26" spans="1:12" x14ac:dyDescent="0.3">
      <c r="A26" t="s">
        <v>84</v>
      </c>
      <c r="B26" t="s">
        <v>85</v>
      </c>
      <c r="C26">
        <v>928453800</v>
      </c>
      <c r="D26" s="3">
        <v>3990000</v>
      </c>
      <c r="E26">
        <v>2</v>
      </c>
      <c r="F26" s="5">
        <v>45516</v>
      </c>
      <c r="G26" t="s">
        <v>7</v>
      </c>
      <c r="H26" t="s">
        <v>10</v>
      </c>
      <c r="I26" t="s">
        <v>28</v>
      </c>
      <c r="J26">
        <f t="shared" si="0"/>
        <v>7980000</v>
      </c>
      <c r="K26">
        <f t="shared" si="1"/>
        <v>8</v>
      </c>
      <c r="L26">
        <f t="shared" si="2"/>
        <v>33</v>
      </c>
    </row>
    <row r="27" spans="1:12" x14ac:dyDescent="0.3">
      <c r="A27" t="s">
        <v>86</v>
      </c>
      <c r="B27" t="s">
        <v>87</v>
      </c>
      <c r="C27">
        <v>976890827</v>
      </c>
      <c r="D27" s="3">
        <v>5290000</v>
      </c>
      <c r="E27">
        <v>3</v>
      </c>
      <c r="F27" s="5">
        <v>45636</v>
      </c>
      <c r="G27" t="s">
        <v>7</v>
      </c>
      <c r="H27" t="s">
        <v>10</v>
      </c>
      <c r="I27" t="s">
        <v>29</v>
      </c>
      <c r="J27">
        <f t="shared" si="0"/>
        <v>15870000</v>
      </c>
      <c r="K27">
        <f t="shared" si="1"/>
        <v>12</v>
      </c>
      <c r="L27">
        <f t="shared" si="2"/>
        <v>50</v>
      </c>
    </row>
    <row r="28" spans="1:12" x14ac:dyDescent="0.3">
      <c r="A28" t="s">
        <v>88</v>
      </c>
      <c r="B28" t="s">
        <v>89</v>
      </c>
      <c r="C28">
        <v>910380581</v>
      </c>
      <c r="D28" s="3">
        <v>6990000</v>
      </c>
      <c r="E28">
        <v>1</v>
      </c>
      <c r="F28" s="5">
        <v>45654</v>
      </c>
      <c r="G28" t="s">
        <v>8</v>
      </c>
      <c r="H28" t="s">
        <v>9</v>
      </c>
      <c r="I28" t="s">
        <v>30</v>
      </c>
      <c r="J28">
        <f t="shared" si="0"/>
        <v>6990000</v>
      </c>
      <c r="K28">
        <f t="shared" si="1"/>
        <v>12</v>
      </c>
      <c r="L28">
        <f t="shared" si="2"/>
        <v>52</v>
      </c>
    </row>
    <row r="29" spans="1:12" x14ac:dyDescent="0.3">
      <c r="A29" t="s">
        <v>90</v>
      </c>
      <c r="B29" t="s">
        <v>91</v>
      </c>
      <c r="C29">
        <v>915529005</v>
      </c>
      <c r="D29" s="3">
        <v>12500000</v>
      </c>
      <c r="E29">
        <v>2</v>
      </c>
      <c r="F29" s="5">
        <v>45363</v>
      </c>
      <c r="G29" t="s">
        <v>6</v>
      </c>
      <c r="H29" t="s">
        <v>9</v>
      </c>
      <c r="I29" t="s">
        <v>31</v>
      </c>
      <c r="J29">
        <f t="shared" si="0"/>
        <v>25000000</v>
      </c>
      <c r="K29">
        <f t="shared" si="1"/>
        <v>3</v>
      </c>
      <c r="L29">
        <f t="shared" si="2"/>
        <v>11</v>
      </c>
    </row>
    <row r="30" spans="1:12" x14ac:dyDescent="0.3">
      <c r="A30" t="s">
        <v>92</v>
      </c>
      <c r="B30" t="s">
        <v>93</v>
      </c>
      <c r="C30">
        <v>951954112</v>
      </c>
      <c r="D30" s="3">
        <v>5290000</v>
      </c>
      <c r="E30">
        <v>3</v>
      </c>
      <c r="F30" s="5">
        <v>45637</v>
      </c>
      <c r="G30" t="s">
        <v>7</v>
      </c>
      <c r="H30" t="s">
        <v>10</v>
      </c>
      <c r="I30" t="s">
        <v>29</v>
      </c>
      <c r="J30">
        <f t="shared" si="0"/>
        <v>15870000</v>
      </c>
      <c r="K30">
        <f t="shared" si="1"/>
        <v>12</v>
      </c>
      <c r="L30">
        <f t="shared" si="2"/>
        <v>50</v>
      </c>
    </row>
    <row r="31" spans="1:12" x14ac:dyDescent="0.3">
      <c r="A31" t="s">
        <v>94</v>
      </c>
      <c r="B31" t="s">
        <v>95</v>
      </c>
      <c r="C31">
        <v>927463800</v>
      </c>
      <c r="D31" s="3">
        <v>450000</v>
      </c>
      <c r="E31">
        <v>5</v>
      </c>
      <c r="F31" s="5">
        <v>45628</v>
      </c>
      <c r="G31" t="s">
        <v>8</v>
      </c>
      <c r="H31" t="s">
        <v>10</v>
      </c>
      <c r="I31" t="s">
        <v>23</v>
      </c>
      <c r="J31">
        <f t="shared" si="0"/>
        <v>2250000</v>
      </c>
      <c r="K31">
        <f t="shared" si="1"/>
        <v>12</v>
      </c>
      <c r="L31">
        <f t="shared" si="2"/>
        <v>49</v>
      </c>
    </row>
    <row r="32" spans="1:12" x14ac:dyDescent="0.3">
      <c r="A32" t="s">
        <v>96</v>
      </c>
      <c r="B32" t="s">
        <v>97</v>
      </c>
      <c r="C32">
        <v>945843681</v>
      </c>
      <c r="D32" s="3">
        <v>450000</v>
      </c>
      <c r="E32">
        <v>4</v>
      </c>
      <c r="F32" s="5">
        <v>45631</v>
      </c>
      <c r="G32" t="s">
        <v>8</v>
      </c>
      <c r="H32" t="s">
        <v>10</v>
      </c>
      <c r="I32" t="s">
        <v>23</v>
      </c>
      <c r="J32">
        <f t="shared" si="0"/>
        <v>1800000</v>
      </c>
      <c r="K32">
        <f t="shared" si="1"/>
        <v>12</v>
      </c>
      <c r="L32">
        <f t="shared" si="2"/>
        <v>49</v>
      </c>
    </row>
    <row r="33" spans="1:12" x14ac:dyDescent="0.3">
      <c r="A33" t="s">
        <v>98</v>
      </c>
      <c r="B33" t="s">
        <v>99</v>
      </c>
      <c r="C33">
        <v>997971488</v>
      </c>
      <c r="D33" s="3">
        <v>150000</v>
      </c>
      <c r="E33">
        <v>4</v>
      </c>
      <c r="F33" s="5">
        <v>45639</v>
      </c>
      <c r="G33" t="s">
        <v>8</v>
      </c>
      <c r="H33" t="s">
        <v>10</v>
      </c>
      <c r="I33" t="s">
        <v>27</v>
      </c>
      <c r="J33">
        <f t="shared" si="0"/>
        <v>600000</v>
      </c>
      <c r="K33">
        <f t="shared" si="1"/>
        <v>12</v>
      </c>
      <c r="L33">
        <f t="shared" si="2"/>
        <v>50</v>
      </c>
    </row>
    <row r="34" spans="1:12" x14ac:dyDescent="0.3">
      <c r="A34" t="s">
        <v>100</v>
      </c>
      <c r="B34" t="s">
        <v>101</v>
      </c>
      <c r="C34">
        <v>965910756</v>
      </c>
      <c r="D34" s="3">
        <v>15990000</v>
      </c>
      <c r="E34">
        <v>1</v>
      </c>
      <c r="F34" s="5">
        <v>45648</v>
      </c>
      <c r="G34" t="s">
        <v>8</v>
      </c>
      <c r="H34" t="s">
        <v>9</v>
      </c>
      <c r="I34" t="s">
        <v>17</v>
      </c>
      <c r="J34">
        <f t="shared" si="0"/>
        <v>15990000</v>
      </c>
      <c r="K34">
        <f t="shared" si="1"/>
        <v>12</v>
      </c>
      <c r="L34">
        <f t="shared" si="2"/>
        <v>52</v>
      </c>
    </row>
    <row r="35" spans="1:12" x14ac:dyDescent="0.3">
      <c r="A35" t="s">
        <v>102</v>
      </c>
      <c r="B35" t="s">
        <v>103</v>
      </c>
      <c r="C35">
        <v>972409658</v>
      </c>
      <c r="D35" s="3">
        <v>350000</v>
      </c>
      <c r="E35">
        <v>2</v>
      </c>
      <c r="F35" s="5">
        <v>45641</v>
      </c>
      <c r="G35" t="s">
        <v>6</v>
      </c>
      <c r="H35" t="s">
        <v>10</v>
      </c>
      <c r="I35" t="s">
        <v>13</v>
      </c>
      <c r="J35">
        <f t="shared" si="0"/>
        <v>700000</v>
      </c>
      <c r="K35">
        <f t="shared" si="1"/>
        <v>12</v>
      </c>
      <c r="L35">
        <f t="shared" si="2"/>
        <v>51</v>
      </c>
    </row>
    <row r="36" spans="1:12" x14ac:dyDescent="0.3">
      <c r="A36" t="s">
        <v>104</v>
      </c>
      <c r="B36" t="s">
        <v>105</v>
      </c>
      <c r="C36">
        <v>998955314</v>
      </c>
      <c r="D36" s="3">
        <v>18990000</v>
      </c>
      <c r="E36">
        <v>1</v>
      </c>
      <c r="F36" s="5">
        <v>45647</v>
      </c>
      <c r="G36" t="s">
        <v>8</v>
      </c>
      <c r="H36" t="s">
        <v>9</v>
      </c>
      <c r="I36" t="s">
        <v>14</v>
      </c>
      <c r="J36">
        <f t="shared" si="0"/>
        <v>18990000</v>
      </c>
      <c r="K36">
        <f t="shared" si="1"/>
        <v>12</v>
      </c>
      <c r="L36">
        <f t="shared" si="2"/>
        <v>51</v>
      </c>
    </row>
    <row r="37" spans="1:12" x14ac:dyDescent="0.3">
      <c r="A37" t="s">
        <v>106</v>
      </c>
      <c r="B37" t="s">
        <v>107</v>
      </c>
      <c r="C37">
        <v>939920292</v>
      </c>
      <c r="D37" s="3">
        <v>12500000</v>
      </c>
      <c r="E37">
        <v>2</v>
      </c>
      <c r="F37" s="5">
        <v>45648</v>
      </c>
      <c r="G37" t="s">
        <v>8</v>
      </c>
      <c r="H37" t="s">
        <v>9</v>
      </c>
      <c r="I37" t="s">
        <v>31</v>
      </c>
      <c r="J37">
        <f t="shared" si="0"/>
        <v>25000000</v>
      </c>
      <c r="K37">
        <f t="shared" si="1"/>
        <v>12</v>
      </c>
      <c r="L37">
        <f t="shared" si="2"/>
        <v>52</v>
      </c>
    </row>
    <row r="38" spans="1:12" x14ac:dyDescent="0.3">
      <c r="A38" t="s">
        <v>108</v>
      </c>
      <c r="B38" t="s">
        <v>109</v>
      </c>
      <c r="C38">
        <v>960473288</v>
      </c>
      <c r="D38" s="3">
        <v>6990000</v>
      </c>
      <c r="E38">
        <v>2</v>
      </c>
      <c r="F38" s="5">
        <v>45653</v>
      </c>
      <c r="G38" t="s">
        <v>8</v>
      </c>
      <c r="H38" t="s">
        <v>9</v>
      </c>
      <c r="I38" t="s">
        <v>30</v>
      </c>
      <c r="J38">
        <f t="shared" si="0"/>
        <v>13980000</v>
      </c>
      <c r="K38">
        <f t="shared" si="1"/>
        <v>12</v>
      </c>
      <c r="L38">
        <f t="shared" si="2"/>
        <v>52</v>
      </c>
    </row>
    <row r="39" spans="1:12" x14ac:dyDescent="0.3">
      <c r="A39" t="s">
        <v>110</v>
      </c>
      <c r="B39" t="s">
        <v>111</v>
      </c>
      <c r="C39">
        <v>992950779</v>
      </c>
      <c r="D39" s="3">
        <v>25990000</v>
      </c>
      <c r="E39">
        <v>1</v>
      </c>
      <c r="F39" s="5">
        <v>45646</v>
      </c>
      <c r="G39" t="s">
        <v>6</v>
      </c>
      <c r="H39" t="s">
        <v>9</v>
      </c>
      <c r="I39" t="s">
        <v>26</v>
      </c>
      <c r="J39">
        <f t="shared" si="0"/>
        <v>25990000</v>
      </c>
      <c r="K39">
        <f t="shared" si="1"/>
        <v>12</v>
      </c>
      <c r="L39">
        <f t="shared" si="2"/>
        <v>51</v>
      </c>
    </row>
    <row r="40" spans="1:12" x14ac:dyDescent="0.3">
      <c r="A40" t="s">
        <v>112</v>
      </c>
      <c r="B40" t="s">
        <v>113</v>
      </c>
      <c r="C40">
        <v>927129912</v>
      </c>
      <c r="D40" s="3">
        <v>80000</v>
      </c>
      <c r="E40">
        <v>4</v>
      </c>
      <c r="F40" s="5">
        <v>45644</v>
      </c>
      <c r="G40" t="s">
        <v>8</v>
      </c>
      <c r="H40" t="s">
        <v>10</v>
      </c>
      <c r="I40" t="s">
        <v>16</v>
      </c>
      <c r="J40">
        <f t="shared" si="0"/>
        <v>320000</v>
      </c>
      <c r="K40">
        <f t="shared" si="1"/>
        <v>12</v>
      </c>
      <c r="L40">
        <f t="shared" si="2"/>
        <v>51</v>
      </c>
    </row>
    <row r="41" spans="1:12" x14ac:dyDescent="0.3">
      <c r="A41" t="s">
        <v>114</v>
      </c>
      <c r="B41" t="s">
        <v>115</v>
      </c>
      <c r="C41">
        <v>970855700</v>
      </c>
      <c r="D41" s="3">
        <v>3990000</v>
      </c>
      <c r="E41">
        <v>2</v>
      </c>
      <c r="F41" s="5">
        <v>45653</v>
      </c>
      <c r="G41" t="s">
        <v>6</v>
      </c>
      <c r="H41" t="s">
        <v>10</v>
      </c>
      <c r="I41" t="s">
        <v>28</v>
      </c>
      <c r="J41">
        <f t="shared" si="0"/>
        <v>7980000</v>
      </c>
      <c r="K41">
        <f t="shared" si="1"/>
        <v>12</v>
      </c>
      <c r="L41">
        <f t="shared" si="2"/>
        <v>52</v>
      </c>
    </row>
    <row r="42" spans="1:12" x14ac:dyDescent="0.3">
      <c r="A42" t="s">
        <v>116</v>
      </c>
      <c r="B42" t="s">
        <v>117</v>
      </c>
      <c r="C42">
        <v>919233013</v>
      </c>
      <c r="D42" s="3">
        <v>9990000</v>
      </c>
      <c r="E42">
        <v>1</v>
      </c>
      <c r="F42" s="5">
        <v>45638</v>
      </c>
      <c r="G42" t="s">
        <v>6</v>
      </c>
      <c r="H42" t="s">
        <v>9</v>
      </c>
      <c r="I42" t="s">
        <v>12</v>
      </c>
      <c r="J42">
        <f t="shared" si="0"/>
        <v>9990000</v>
      </c>
      <c r="K42">
        <f t="shared" si="1"/>
        <v>12</v>
      </c>
      <c r="L42">
        <f t="shared" si="2"/>
        <v>50</v>
      </c>
    </row>
    <row r="43" spans="1:12" x14ac:dyDescent="0.3">
      <c r="A43" t="s">
        <v>118</v>
      </c>
      <c r="B43" t="s">
        <v>119</v>
      </c>
      <c r="C43">
        <v>981971316</v>
      </c>
      <c r="D43" s="3">
        <v>18990000</v>
      </c>
      <c r="E43">
        <v>1</v>
      </c>
      <c r="F43" s="5">
        <v>45656</v>
      </c>
      <c r="G43" t="s">
        <v>6</v>
      </c>
      <c r="H43" t="s">
        <v>9</v>
      </c>
      <c r="I43" t="s">
        <v>15</v>
      </c>
      <c r="J43">
        <f t="shared" si="0"/>
        <v>18990000</v>
      </c>
      <c r="K43">
        <f t="shared" si="1"/>
        <v>12</v>
      </c>
      <c r="L43">
        <f t="shared" si="2"/>
        <v>53</v>
      </c>
    </row>
    <row r="44" spans="1:12" x14ac:dyDescent="0.3">
      <c r="A44" t="s">
        <v>120</v>
      </c>
      <c r="B44" t="s">
        <v>121</v>
      </c>
      <c r="C44">
        <v>937133023</v>
      </c>
      <c r="D44" s="3">
        <v>280000</v>
      </c>
      <c r="E44">
        <v>2</v>
      </c>
      <c r="F44" s="5">
        <v>45644</v>
      </c>
      <c r="G44" t="s">
        <v>7</v>
      </c>
      <c r="H44" t="s">
        <v>10</v>
      </c>
      <c r="I44" t="s">
        <v>32</v>
      </c>
      <c r="J44">
        <f t="shared" si="0"/>
        <v>560000</v>
      </c>
      <c r="K44">
        <f t="shared" si="1"/>
        <v>12</v>
      </c>
      <c r="L44">
        <f t="shared" si="2"/>
        <v>51</v>
      </c>
    </row>
    <row r="45" spans="1:12" x14ac:dyDescent="0.3">
      <c r="A45" t="s">
        <v>122</v>
      </c>
      <c r="B45" t="s">
        <v>123</v>
      </c>
      <c r="C45">
        <v>967887757</v>
      </c>
      <c r="D45" s="3">
        <v>28990000</v>
      </c>
      <c r="E45">
        <v>2</v>
      </c>
      <c r="F45" s="5">
        <v>45657</v>
      </c>
      <c r="G45" t="s">
        <v>8</v>
      </c>
      <c r="H45" t="s">
        <v>9</v>
      </c>
      <c r="I45" t="s">
        <v>18</v>
      </c>
      <c r="J45">
        <f t="shared" si="0"/>
        <v>57980000</v>
      </c>
      <c r="K45">
        <f t="shared" si="1"/>
        <v>12</v>
      </c>
      <c r="L45">
        <f t="shared" si="2"/>
        <v>53</v>
      </c>
    </row>
    <row r="46" spans="1:12" x14ac:dyDescent="0.3">
      <c r="A46" t="s">
        <v>124</v>
      </c>
      <c r="B46" t="s">
        <v>125</v>
      </c>
      <c r="C46">
        <v>979182797</v>
      </c>
      <c r="D46" s="3">
        <v>2990000</v>
      </c>
      <c r="E46">
        <v>3</v>
      </c>
      <c r="F46" s="5">
        <v>45647</v>
      </c>
      <c r="G46" t="s">
        <v>8</v>
      </c>
      <c r="H46" t="s">
        <v>10</v>
      </c>
      <c r="I46" t="s">
        <v>24</v>
      </c>
      <c r="J46">
        <f t="shared" si="0"/>
        <v>8970000</v>
      </c>
      <c r="K46">
        <f t="shared" si="1"/>
        <v>12</v>
      </c>
      <c r="L46">
        <f t="shared" si="2"/>
        <v>51</v>
      </c>
    </row>
    <row r="47" spans="1:12" x14ac:dyDescent="0.3">
      <c r="A47" t="s">
        <v>126</v>
      </c>
      <c r="B47" t="s">
        <v>127</v>
      </c>
      <c r="C47">
        <v>914216175</v>
      </c>
      <c r="D47" s="3">
        <v>18490000</v>
      </c>
      <c r="E47">
        <v>1</v>
      </c>
      <c r="F47" s="5">
        <v>45629</v>
      </c>
      <c r="G47" t="s">
        <v>8</v>
      </c>
      <c r="H47" t="s">
        <v>11</v>
      </c>
      <c r="I47" t="s">
        <v>19</v>
      </c>
      <c r="J47">
        <f t="shared" si="0"/>
        <v>18490000</v>
      </c>
      <c r="K47">
        <f t="shared" si="1"/>
        <v>12</v>
      </c>
      <c r="L47">
        <f t="shared" si="2"/>
        <v>49</v>
      </c>
    </row>
    <row r="48" spans="1:12" x14ac:dyDescent="0.3">
      <c r="A48" t="s">
        <v>128</v>
      </c>
      <c r="B48" t="s">
        <v>129</v>
      </c>
      <c r="C48">
        <v>938933176</v>
      </c>
      <c r="D48" s="3">
        <v>190000</v>
      </c>
      <c r="E48">
        <v>3</v>
      </c>
      <c r="F48" s="5">
        <v>45643</v>
      </c>
      <c r="G48" t="s">
        <v>6</v>
      </c>
      <c r="H48" t="s">
        <v>10</v>
      </c>
      <c r="I48" t="s">
        <v>22</v>
      </c>
      <c r="J48">
        <f t="shared" si="0"/>
        <v>570000</v>
      </c>
      <c r="K48">
        <f t="shared" si="1"/>
        <v>12</v>
      </c>
      <c r="L48">
        <f t="shared" si="2"/>
        <v>51</v>
      </c>
    </row>
    <row r="49" spans="1:12" x14ac:dyDescent="0.3">
      <c r="A49" t="s">
        <v>130</v>
      </c>
      <c r="B49" t="s">
        <v>131</v>
      </c>
      <c r="C49">
        <v>959555330</v>
      </c>
      <c r="D49" s="3">
        <v>280000</v>
      </c>
      <c r="E49">
        <v>4</v>
      </c>
      <c r="F49" s="5">
        <v>45644</v>
      </c>
      <c r="G49" t="s">
        <v>7</v>
      </c>
      <c r="H49" t="s">
        <v>10</v>
      </c>
      <c r="I49" t="s">
        <v>32</v>
      </c>
      <c r="J49">
        <f t="shared" si="0"/>
        <v>1120000</v>
      </c>
      <c r="K49">
        <f t="shared" si="1"/>
        <v>12</v>
      </c>
      <c r="L49">
        <f t="shared" si="2"/>
        <v>51</v>
      </c>
    </row>
    <row r="50" spans="1:12" x14ac:dyDescent="0.3">
      <c r="A50" t="s">
        <v>132</v>
      </c>
      <c r="B50" t="s">
        <v>133</v>
      </c>
      <c r="C50">
        <v>967110154</v>
      </c>
      <c r="D50" s="3">
        <v>250000</v>
      </c>
      <c r="E50">
        <v>3</v>
      </c>
      <c r="F50" s="5">
        <v>45644</v>
      </c>
      <c r="G50" t="s">
        <v>7</v>
      </c>
      <c r="H50" t="s">
        <v>10</v>
      </c>
      <c r="I50" t="s">
        <v>33</v>
      </c>
      <c r="J50">
        <f t="shared" si="0"/>
        <v>750000</v>
      </c>
      <c r="K50">
        <f t="shared" si="1"/>
        <v>12</v>
      </c>
      <c r="L50">
        <f t="shared" si="2"/>
        <v>51</v>
      </c>
    </row>
    <row r="51" spans="1:12" x14ac:dyDescent="0.3">
      <c r="A51" t="s">
        <v>134</v>
      </c>
      <c r="B51" t="s">
        <v>135</v>
      </c>
      <c r="C51">
        <v>977215278</v>
      </c>
      <c r="D51" s="3">
        <v>250000</v>
      </c>
      <c r="E51">
        <v>1</v>
      </c>
      <c r="F51" s="5">
        <v>45638</v>
      </c>
      <c r="G51" t="s">
        <v>8</v>
      </c>
      <c r="H51" t="s">
        <v>10</v>
      </c>
      <c r="I51" t="s">
        <v>33</v>
      </c>
      <c r="J51">
        <f t="shared" si="0"/>
        <v>250000</v>
      </c>
      <c r="K51">
        <f t="shared" si="1"/>
        <v>12</v>
      </c>
      <c r="L51">
        <f t="shared" si="2"/>
        <v>50</v>
      </c>
    </row>
    <row r="52" spans="1:12" x14ac:dyDescent="0.3">
      <c r="A52" t="s">
        <v>136</v>
      </c>
      <c r="B52" t="s">
        <v>137</v>
      </c>
      <c r="C52">
        <v>969085720</v>
      </c>
      <c r="D52" s="3">
        <v>18490000</v>
      </c>
      <c r="E52">
        <v>1</v>
      </c>
      <c r="F52" s="5">
        <v>45640</v>
      </c>
      <c r="G52" t="s">
        <v>6</v>
      </c>
      <c r="H52" t="s">
        <v>11</v>
      </c>
      <c r="I52" t="s">
        <v>19</v>
      </c>
      <c r="J52">
        <f t="shared" si="0"/>
        <v>18490000</v>
      </c>
      <c r="K52">
        <f t="shared" si="1"/>
        <v>12</v>
      </c>
      <c r="L52">
        <f t="shared" si="2"/>
        <v>50</v>
      </c>
    </row>
    <row r="53" spans="1:12" x14ac:dyDescent="0.3">
      <c r="A53" t="s">
        <v>138</v>
      </c>
      <c r="B53" t="s">
        <v>139</v>
      </c>
      <c r="C53">
        <v>936246038</v>
      </c>
      <c r="D53" s="3">
        <v>350000</v>
      </c>
      <c r="E53">
        <v>3</v>
      </c>
      <c r="F53" s="5">
        <v>45394</v>
      </c>
      <c r="G53" t="s">
        <v>7</v>
      </c>
      <c r="H53" t="s">
        <v>10</v>
      </c>
      <c r="I53" t="s">
        <v>13</v>
      </c>
      <c r="J53">
        <f t="shared" si="0"/>
        <v>1050000</v>
      </c>
      <c r="K53">
        <f t="shared" si="1"/>
        <v>4</v>
      </c>
      <c r="L53">
        <f t="shared" si="2"/>
        <v>15</v>
      </c>
    </row>
    <row r="54" spans="1:12" x14ac:dyDescent="0.3">
      <c r="A54" t="s">
        <v>140</v>
      </c>
      <c r="B54" t="s">
        <v>141</v>
      </c>
      <c r="C54">
        <v>932566390</v>
      </c>
      <c r="D54" s="3">
        <v>28990000</v>
      </c>
      <c r="E54">
        <v>1</v>
      </c>
      <c r="F54" s="5">
        <v>45643</v>
      </c>
      <c r="G54" t="s">
        <v>7</v>
      </c>
      <c r="H54" t="s">
        <v>9</v>
      </c>
      <c r="I54" t="s">
        <v>18</v>
      </c>
      <c r="J54">
        <f t="shared" si="0"/>
        <v>28990000</v>
      </c>
      <c r="K54">
        <f t="shared" si="1"/>
        <v>12</v>
      </c>
      <c r="L54">
        <f t="shared" si="2"/>
        <v>51</v>
      </c>
    </row>
    <row r="55" spans="1:12" x14ac:dyDescent="0.3">
      <c r="A55" t="s">
        <v>142</v>
      </c>
      <c r="B55" t="s">
        <v>143</v>
      </c>
      <c r="C55">
        <v>967213476</v>
      </c>
      <c r="D55" s="3">
        <v>2990000</v>
      </c>
      <c r="E55">
        <v>4</v>
      </c>
      <c r="F55" s="5">
        <v>45630</v>
      </c>
      <c r="G55" t="s">
        <v>7</v>
      </c>
      <c r="H55" t="s">
        <v>10</v>
      </c>
      <c r="I55" t="s">
        <v>24</v>
      </c>
      <c r="J55">
        <f t="shared" si="0"/>
        <v>11960000</v>
      </c>
      <c r="K55">
        <f t="shared" si="1"/>
        <v>12</v>
      </c>
      <c r="L55">
        <f t="shared" si="2"/>
        <v>49</v>
      </c>
    </row>
    <row r="56" spans="1:12" x14ac:dyDescent="0.3">
      <c r="A56" t="s">
        <v>144</v>
      </c>
      <c r="B56" t="s">
        <v>145</v>
      </c>
      <c r="C56">
        <v>936096655</v>
      </c>
      <c r="D56" s="3">
        <v>5290000</v>
      </c>
      <c r="E56">
        <v>4</v>
      </c>
      <c r="F56" s="5">
        <v>45649</v>
      </c>
      <c r="G56" t="s">
        <v>6</v>
      </c>
      <c r="H56" t="s">
        <v>10</v>
      </c>
      <c r="I56" t="s">
        <v>29</v>
      </c>
      <c r="J56">
        <f t="shared" si="0"/>
        <v>21160000</v>
      </c>
      <c r="K56">
        <f t="shared" si="1"/>
        <v>12</v>
      </c>
      <c r="L56">
        <f t="shared" si="2"/>
        <v>52</v>
      </c>
    </row>
    <row r="57" spans="1:12" x14ac:dyDescent="0.3">
      <c r="A57" t="s">
        <v>146</v>
      </c>
      <c r="B57" t="s">
        <v>147</v>
      </c>
      <c r="C57">
        <v>995594482</v>
      </c>
      <c r="D57" s="3">
        <v>2990000</v>
      </c>
      <c r="E57">
        <v>4</v>
      </c>
      <c r="F57" s="5">
        <v>45656</v>
      </c>
      <c r="G57" t="s">
        <v>8</v>
      </c>
      <c r="H57" t="s">
        <v>10</v>
      </c>
      <c r="I57" t="s">
        <v>24</v>
      </c>
      <c r="J57">
        <f t="shared" si="0"/>
        <v>11960000</v>
      </c>
      <c r="K57">
        <f t="shared" si="1"/>
        <v>12</v>
      </c>
      <c r="L57">
        <f t="shared" si="2"/>
        <v>53</v>
      </c>
    </row>
    <row r="58" spans="1:12" x14ac:dyDescent="0.3">
      <c r="A58" t="s">
        <v>148</v>
      </c>
      <c r="B58" t="s">
        <v>149</v>
      </c>
      <c r="C58">
        <v>929777514</v>
      </c>
      <c r="D58" s="3">
        <v>12500000</v>
      </c>
      <c r="E58">
        <v>2</v>
      </c>
      <c r="F58" s="5">
        <v>45334</v>
      </c>
      <c r="G58" t="s">
        <v>8</v>
      </c>
      <c r="H58" t="s">
        <v>9</v>
      </c>
      <c r="I58" t="s">
        <v>31</v>
      </c>
      <c r="J58">
        <f t="shared" si="0"/>
        <v>25000000</v>
      </c>
      <c r="K58">
        <f t="shared" si="1"/>
        <v>2</v>
      </c>
      <c r="L58">
        <f t="shared" si="2"/>
        <v>7</v>
      </c>
    </row>
    <row r="59" spans="1:12" x14ac:dyDescent="0.3">
      <c r="A59" t="s">
        <v>150</v>
      </c>
      <c r="B59" t="s">
        <v>151</v>
      </c>
      <c r="C59">
        <v>959823245</v>
      </c>
      <c r="D59" s="3">
        <v>450000</v>
      </c>
      <c r="E59">
        <v>5</v>
      </c>
      <c r="F59" s="5">
        <v>45656</v>
      </c>
      <c r="G59" t="s">
        <v>8</v>
      </c>
      <c r="H59" t="s">
        <v>10</v>
      </c>
      <c r="I59" t="s">
        <v>23</v>
      </c>
      <c r="J59">
        <f t="shared" si="0"/>
        <v>2250000</v>
      </c>
      <c r="K59">
        <f t="shared" si="1"/>
        <v>12</v>
      </c>
      <c r="L59">
        <f t="shared" si="2"/>
        <v>53</v>
      </c>
    </row>
    <row r="60" spans="1:12" x14ac:dyDescent="0.3">
      <c r="A60" t="s">
        <v>152</v>
      </c>
      <c r="B60" t="s">
        <v>153</v>
      </c>
      <c r="C60">
        <v>983284724</v>
      </c>
      <c r="D60" s="3">
        <v>18490000</v>
      </c>
      <c r="E60">
        <v>1</v>
      </c>
      <c r="F60" s="5">
        <v>45653</v>
      </c>
      <c r="G60" t="s">
        <v>6</v>
      </c>
      <c r="H60" t="s">
        <v>11</v>
      </c>
      <c r="I60" t="s">
        <v>19</v>
      </c>
      <c r="J60">
        <f t="shared" si="0"/>
        <v>18490000</v>
      </c>
      <c r="K60">
        <f t="shared" si="1"/>
        <v>12</v>
      </c>
      <c r="L60">
        <f t="shared" si="2"/>
        <v>52</v>
      </c>
    </row>
    <row r="61" spans="1:12" x14ac:dyDescent="0.3">
      <c r="A61" t="s">
        <v>154</v>
      </c>
      <c r="B61" t="s">
        <v>155</v>
      </c>
      <c r="C61">
        <v>917507864</v>
      </c>
      <c r="D61" s="3">
        <v>9990000</v>
      </c>
      <c r="E61">
        <v>2</v>
      </c>
      <c r="F61" s="5">
        <v>45653</v>
      </c>
      <c r="G61" t="s">
        <v>8</v>
      </c>
      <c r="H61" t="s">
        <v>9</v>
      </c>
      <c r="I61" t="s">
        <v>12</v>
      </c>
      <c r="J61">
        <f t="shared" si="0"/>
        <v>19980000</v>
      </c>
      <c r="K61">
        <f t="shared" si="1"/>
        <v>12</v>
      </c>
      <c r="L61">
        <f t="shared" si="2"/>
        <v>52</v>
      </c>
    </row>
    <row r="62" spans="1:12" x14ac:dyDescent="0.3">
      <c r="A62" t="s">
        <v>156</v>
      </c>
      <c r="B62" t="s">
        <v>157</v>
      </c>
      <c r="C62">
        <v>933763566</v>
      </c>
      <c r="D62" s="3">
        <v>8900000</v>
      </c>
      <c r="E62">
        <v>2</v>
      </c>
      <c r="F62" s="5">
        <v>45303</v>
      </c>
      <c r="G62" t="s">
        <v>6</v>
      </c>
      <c r="H62" t="s">
        <v>11</v>
      </c>
      <c r="I62" t="s">
        <v>21</v>
      </c>
      <c r="J62">
        <f t="shared" si="0"/>
        <v>17800000</v>
      </c>
      <c r="K62">
        <f t="shared" si="1"/>
        <v>1</v>
      </c>
      <c r="L62">
        <f t="shared" si="2"/>
        <v>2</v>
      </c>
    </row>
    <row r="63" spans="1:12" x14ac:dyDescent="0.3">
      <c r="A63" t="s">
        <v>158</v>
      </c>
      <c r="B63" t="s">
        <v>159</v>
      </c>
      <c r="C63">
        <v>985500790</v>
      </c>
      <c r="D63" s="3">
        <v>9990000</v>
      </c>
      <c r="E63">
        <v>1</v>
      </c>
      <c r="F63" s="5">
        <v>45650</v>
      </c>
      <c r="G63" t="s">
        <v>6</v>
      </c>
      <c r="H63" t="s">
        <v>9</v>
      </c>
      <c r="I63" t="s">
        <v>12</v>
      </c>
      <c r="J63">
        <f t="shared" si="0"/>
        <v>9990000</v>
      </c>
      <c r="K63">
        <f t="shared" si="1"/>
        <v>12</v>
      </c>
      <c r="L63">
        <f t="shared" si="2"/>
        <v>52</v>
      </c>
    </row>
    <row r="64" spans="1:12" x14ac:dyDescent="0.3">
      <c r="A64" t="s">
        <v>160</v>
      </c>
      <c r="B64" t="s">
        <v>161</v>
      </c>
      <c r="C64">
        <v>999508850</v>
      </c>
      <c r="D64" s="3">
        <v>8900000</v>
      </c>
      <c r="E64">
        <v>2</v>
      </c>
      <c r="F64" s="5">
        <v>45637</v>
      </c>
      <c r="G64" t="s">
        <v>7</v>
      </c>
      <c r="H64" t="s">
        <v>11</v>
      </c>
      <c r="I64" t="s">
        <v>21</v>
      </c>
      <c r="J64">
        <f t="shared" si="0"/>
        <v>17800000</v>
      </c>
      <c r="K64">
        <f t="shared" si="1"/>
        <v>12</v>
      </c>
      <c r="L64">
        <f t="shared" si="2"/>
        <v>50</v>
      </c>
    </row>
    <row r="65" spans="1:12" x14ac:dyDescent="0.3">
      <c r="A65" t="s">
        <v>162</v>
      </c>
      <c r="B65" t="s">
        <v>163</v>
      </c>
      <c r="C65">
        <v>922097496</v>
      </c>
      <c r="D65" s="3">
        <v>12500000</v>
      </c>
      <c r="E65">
        <v>2</v>
      </c>
      <c r="F65" s="5">
        <v>45637</v>
      </c>
      <c r="G65" t="s">
        <v>6</v>
      </c>
      <c r="H65" t="s">
        <v>11</v>
      </c>
      <c r="I65" t="s">
        <v>20</v>
      </c>
      <c r="J65">
        <f t="shared" si="0"/>
        <v>25000000</v>
      </c>
      <c r="K65">
        <f t="shared" si="1"/>
        <v>12</v>
      </c>
      <c r="L65">
        <f t="shared" si="2"/>
        <v>50</v>
      </c>
    </row>
    <row r="66" spans="1:12" x14ac:dyDescent="0.3">
      <c r="A66" t="s">
        <v>164</v>
      </c>
      <c r="B66" t="s">
        <v>165</v>
      </c>
      <c r="C66">
        <v>990859912</v>
      </c>
      <c r="D66" s="3">
        <v>15990000</v>
      </c>
      <c r="E66">
        <v>2</v>
      </c>
      <c r="F66" s="5">
        <v>45644</v>
      </c>
      <c r="G66" t="s">
        <v>6</v>
      </c>
      <c r="H66" t="s">
        <v>9</v>
      </c>
      <c r="I66" t="s">
        <v>17</v>
      </c>
      <c r="J66">
        <f t="shared" si="0"/>
        <v>31980000</v>
      </c>
      <c r="K66">
        <f t="shared" si="1"/>
        <v>12</v>
      </c>
      <c r="L66">
        <f t="shared" si="2"/>
        <v>51</v>
      </c>
    </row>
    <row r="67" spans="1:12" x14ac:dyDescent="0.3">
      <c r="A67" t="s">
        <v>166</v>
      </c>
      <c r="B67" t="s">
        <v>167</v>
      </c>
      <c r="C67">
        <v>915134794</v>
      </c>
      <c r="D67" s="3">
        <v>18990000</v>
      </c>
      <c r="E67">
        <v>2</v>
      </c>
      <c r="F67" s="5">
        <v>45646</v>
      </c>
      <c r="G67" t="s">
        <v>7</v>
      </c>
      <c r="H67" t="s">
        <v>9</v>
      </c>
      <c r="I67" t="s">
        <v>15</v>
      </c>
      <c r="J67">
        <f t="shared" ref="J67:J130" si="3">E67*D67</f>
        <v>37980000</v>
      </c>
      <c r="K67">
        <f t="shared" ref="K67:K130" si="4">MONTH(F67)</f>
        <v>12</v>
      </c>
      <c r="L67">
        <f t="shared" ref="L67:L130" si="5">WEEKNUM(F67)</f>
        <v>51</v>
      </c>
    </row>
    <row r="68" spans="1:12" x14ac:dyDescent="0.3">
      <c r="A68" t="s">
        <v>168</v>
      </c>
      <c r="B68" t="s">
        <v>169</v>
      </c>
      <c r="C68">
        <v>982394227</v>
      </c>
      <c r="D68" s="3">
        <v>190000</v>
      </c>
      <c r="E68">
        <v>1</v>
      </c>
      <c r="F68" s="5">
        <v>45656</v>
      </c>
      <c r="G68" t="s">
        <v>8</v>
      </c>
      <c r="H68" t="s">
        <v>10</v>
      </c>
      <c r="I68" t="s">
        <v>22</v>
      </c>
      <c r="J68">
        <f t="shared" si="3"/>
        <v>190000</v>
      </c>
      <c r="K68">
        <f t="shared" si="4"/>
        <v>12</v>
      </c>
      <c r="L68">
        <f t="shared" si="5"/>
        <v>53</v>
      </c>
    </row>
    <row r="69" spans="1:12" x14ac:dyDescent="0.3">
      <c r="A69" t="s">
        <v>170</v>
      </c>
      <c r="B69" t="s">
        <v>171</v>
      </c>
      <c r="C69">
        <v>964362516</v>
      </c>
      <c r="D69" s="3">
        <v>12500000</v>
      </c>
      <c r="E69">
        <v>1</v>
      </c>
      <c r="F69" s="5">
        <v>45657</v>
      </c>
      <c r="G69" t="s">
        <v>6</v>
      </c>
      <c r="H69" t="s">
        <v>9</v>
      </c>
      <c r="I69" t="s">
        <v>31</v>
      </c>
      <c r="J69">
        <f t="shared" si="3"/>
        <v>12500000</v>
      </c>
      <c r="K69">
        <f t="shared" si="4"/>
        <v>12</v>
      </c>
      <c r="L69">
        <f t="shared" si="5"/>
        <v>53</v>
      </c>
    </row>
    <row r="70" spans="1:12" x14ac:dyDescent="0.3">
      <c r="A70" t="s">
        <v>172</v>
      </c>
      <c r="B70" t="s">
        <v>173</v>
      </c>
      <c r="C70">
        <v>955246430</v>
      </c>
      <c r="D70" s="3">
        <v>12500000</v>
      </c>
      <c r="E70">
        <v>1</v>
      </c>
      <c r="F70" s="5">
        <v>45645</v>
      </c>
      <c r="G70" t="s">
        <v>6</v>
      </c>
      <c r="H70" t="s">
        <v>11</v>
      </c>
      <c r="I70" t="s">
        <v>20</v>
      </c>
      <c r="J70">
        <f t="shared" si="3"/>
        <v>12500000</v>
      </c>
      <c r="K70">
        <f t="shared" si="4"/>
        <v>12</v>
      </c>
      <c r="L70">
        <f t="shared" si="5"/>
        <v>51</v>
      </c>
    </row>
    <row r="71" spans="1:12" x14ac:dyDescent="0.3">
      <c r="A71" t="s">
        <v>174</v>
      </c>
      <c r="B71" t="s">
        <v>175</v>
      </c>
      <c r="C71">
        <v>929042093</v>
      </c>
      <c r="D71" s="3">
        <v>250000</v>
      </c>
      <c r="E71">
        <v>1</v>
      </c>
      <c r="F71" s="5">
        <v>45647</v>
      </c>
      <c r="G71" t="s">
        <v>7</v>
      </c>
      <c r="H71" t="s">
        <v>10</v>
      </c>
      <c r="I71" t="s">
        <v>33</v>
      </c>
      <c r="J71">
        <f t="shared" si="3"/>
        <v>250000</v>
      </c>
      <c r="K71">
        <f t="shared" si="4"/>
        <v>12</v>
      </c>
      <c r="L71">
        <f t="shared" si="5"/>
        <v>51</v>
      </c>
    </row>
    <row r="72" spans="1:12" x14ac:dyDescent="0.3">
      <c r="A72" t="s">
        <v>176</v>
      </c>
      <c r="B72" t="s">
        <v>177</v>
      </c>
      <c r="C72">
        <v>911049999</v>
      </c>
      <c r="D72" s="3">
        <v>2990000</v>
      </c>
      <c r="E72">
        <v>3</v>
      </c>
      <c r="F72" s="5">
        <v>45653</v>
      </c>
      <c r="G72" t="s">
        <v>8</v>
      </c>
      <c r="H72" t="s">
        <v>10</v>
      </c>
      <c r="I72" t="s">
        <v>24</v>
      </c>
      <c r="J72">
        <f t="shared" si="3"/>
        <v>8970000</v>
      </c>
      <c r="K72">
        <f t="shared" si="4"/>
        <v>12</v>
      </c>
      <c r="L72">
        <f t="shared" si="5"/>
        <v>52</v>
      </c>
    </row>
    <row r="73" spans="1:12" x14ac:dyDescent="0.3">
      <c r="A73" t="s">
        <v>178</v>
      </c>
      <c r="B73" t="s">
        <v>179</v>
      </c>
      <c r="C73">
        <v>954410148</v>
      </c>
      <c r="D73" s="3">
        <v>450000</v>
      </c>
      <c r="E73">
        <v>1</v>
      </c>
      <c r="F73" s="5">
        <v>45641</v>
      </c>
      <c r="G73" t="s">
        <v>7</v>
      </c>
      <c r="H73" t="s">
        <v>10</v>
      </c>
      <c r="I73" t="s">
        <v>23</v>
      </c>
      <c r="J73">
        <f t="shared" si="3"/>
        <v>450000</v>
      </c>
      <c r="K73">
        <f t="shared" si="4"/>
        <v>12</v>
      </c>
      <c r="L73">
        <f t="shared" si="5"/>
        <v>51</v>
      </c>
    </row>
    <row r="74" spans="1:12" x14ac:dyDescent="0.3">
      <c r="A74" t="s">
        <v>180</v>
      </c>
      <c r="B74" t="s">
        <v>181</v>
      </c>
      <c r="C74">
        <v>977674279</v>
      </c>
      <c r="D74" s="3">
        <v>350000</v>
      </c>
      <c r="E74">
        <v>1</v>
      </c>
      <c r="F74" s="5">
        <v>45547</v>
      </c>
      <c r="G74" t="s">
        <v>7</v>
      </c>
      <c r="H74" t="s">
        <v>10</v>
      </c>
      <c r="I74" t="s">
        <v>13</v>
      </c>
      <c r="J74">
        <f t="shared" si="3"/>
        <v>350000</v>
      </c>
      <c r="K74">
        <f t="shared" si="4"/>
        <v>9</v>
      </c>
      <c r="L74">
        <f t="shared" si="5"/>
        <v>37</v>
      </c>
    </row>
    <row r="75" spans="1:12" x14ac:dyDescent="0.3">
      <c r="A75" t="s">
        <v>182</v>
      </c>
      <c r="B75" t="s">
        <v>183</v>
      </c>
      <c r="C75">
        <v>943491314</v>
      </c>
      <c r="D75" s="3">
        <v>2990000</v>
      </c>
      <c r="E75">
        <v>5</v>
      </c>
      <c r="F75" s="5">
        <v>45630</v>
      </c>
      <c r="G75" t="s">
        <v>6</v>
      </c>
      <c r="H75" t="s">
        <v>10</v>
      </c>
      <c r="I75" t="s">
        <v>24</v>
      </c>
      <c r="J75">
        <f t="shared" si="3"/>
        <v>14950000</v>
      </c>
      <c r="K75">
        <f t="shared" si="4"/>
        <v>12</v>
      </c>
      <c r="L75">
        <f t="shared" si="5"/>
        <v>49</v>
      </c>
    </row>
    <row r="76" spans="1:12" x14ac:dyDescent="0.3">
      <c r="A76" t="s">
        <v>184</v>
      </c>
      <c r="B76" t="s">
        <v>185</v>
      </c>
      <c r="C76">
        <v>919736572</v>
      </c>
      <c r="D76" s="3">
        <v>12500000</v>
      </c>
      <c r="E76">
        <v>1</v>
      </c>
      <c r="F76" s="5">
        <v>45641</v>
      </c>
      <c r="G76" t="s">
        <v>6</v>
      </c>
      <c r="H76" t="s">
        <v>9</v>
      </c>
      <c r="I76" t="s">
        <v>31</v>
      </c>
      <c r="J76">
        <f t="shared" si="3"/>
        <v>12500000</v>
      </c>
      <c r="K76">
        <f t="shared" si="4"/>
        <v>12</v>
      </c>
      <c r="L76">
        <f t="shared" si="5"/>
        <v>51</v>
      </c>
    </row>
    <row r="77" spans="1:12" x14ac:dyDescent="0.3">
      <c r="A77" t="s">
        <v>186</v>
      </c>
      <c r="B77" t="s">
        <v>187</v>
      </c>
      <c r="C77">
        <v>991259008</v>
      </c>
      <c r="D77" s="3">
        <v>8900000</v>
      </c>
      <c r="E77">
        <v>1</v>
      </c>
      <c r="F77" s="5">
        <v>45630</v>
      </c>
      <c r="G77" t="s">
        <v>6</v>
      </c>
      <c r="H77" t="s">
        <v>11</v>
      </c>
      <c r="I77" t="s">
        <v>21</v>
      </c>
      <c r="J77">
        <f t="shared" si="3"/>
        <v>8900000</v>
      </c>
      <c r="K77">
        <f t="shared" si="4"/>
        <v>12</v>
      </c>
      <c r="L77">
        <f t="shared" si="5"/>
        <v>49</v>
      </c>
    </row>
    <row r="78" spans="1:12" x14ac:dyDescent="0.3">
      <c r="A78" t="s">
        <v>188</v>
      </c>
      <c r="B78" t="s">
        <v>189</v>
      </c>
      <c r="C78">
        <v>961940566</v>
      </c>
      <c r="D78" s="3">
        <v>450000</v>
      </c>
      <c r="E78">
        <v>3</v>
      </c>
      <c r="F78" s="5">
        <v>45630</v>
      </c>
      <c r="G78" t="s">
        <v>6</v>
      </c>
      <c r="H78" t="s">
        <v>10</v>
      </c>
      <c r="I78" t="s">
        <v>23</v>
      </c>
      <c r="J78">
        <f t="shared" si="3"/>
        <v>1350000</v>
      </c>
      <c r="K78">
        <f t="shared" si="4"/>
        <v>12</v>
      </c>
      <c r="L78">
        <f t="shared" si="5"/>
        <v>49</v>
      </c>
    </row>
    <row r="79" spans="1:12" x14ac:dyDescent="0.3">
      <c r="A79" t="s">
        <v>190</v>
      </c>
      <c r="B79" t="s">
        <v>191</v>
      </c>
      <c r="C79">
        <v>998043078</v>
      </c>
      <c r="D79" s="3">
        <v>6990000</v>
      </c>
      <c r="E79">
        <v>1</v>
      </c>
      <c r="F79" s="5">
        <v>45650</v>
      </c>
      <c r="G79" t="s">
        <v>7</v>
      </c>
      <c r="H79" t="s">
        <v>9</v>
      </c>
      <c r="I79" t="s">
        <v>30</v>
      </c>
      <c r="J79">
        <f t="shared" si="3"/>
        <v>6990000</v>
      </c>
      <c r="K79">
        <f t="shared" si="4"/>
        <v>12</v>
      </c>
      <c r="L79">
        <f t="shared" si="5"/>
        <v>52</v>
      </c>
    </row>
    <row r="80" spans="1:12" x14ac:dyDescent="0.3">
      <c r="A80" t="s">
        <v>192</v>
      </c>
      <c r="B80" t="s">
        <v>193</v>
      </c>
      <c r="C80">
        <v>993955206</v>
      </c>
      <c r="D80" s="3">
        <v>18990000</v>
      </c>
      <c r="E80">
        <v>1</v>
      </c>
      <c r="F80" s="5">
        <v>45635</v>
      </c>
      <c r="G80" t="s">
        <v>6</v>
      </c>
      <c r="H80" t="s">
        <v>9</v>
      </c>
      <c r="I80" t="s">
        <v>14</v>
      </c>
      <c r="J80">
        <f t="shared" si="3"/>
        <v>18990000</v>
      </c>
      <c r="K80">
        <f t="shared" si="4"/>
        <v>12</v>
      </c>
      <c r="L80">
        <f t="shared" si="5"/>
        <v>50</v>
      </c>
    </row>
    <row r="81" spans="1:12" x14ac:dyDescent="0.3">
      <c r="A81" t="s">
        <v>194</v>
      </c>
      <c r="B81" t="s">
        <v>195</v>
      </c>
      <c r="C81">
        <v>914265799</v>
      </c>
      <c r="D81" s="3">
        <v>12500000</v>
      </c>
      <c r="E81">
        <v>1</v>
      </c>
      <c r="F81" s="5">
        <v>45363</v>
      </c>
      <c r="G81" t="s">
        <v>6</v>
      </c>
      <c r="H81" t="s">
        <v>9</v>
      </c>
      <c r="I81" t="s">
        <v>31</v>
      </c>
      <c r="J81">
        <f t="shared" si="3"/>
        <v>12500000</v>
      </c>
      <c r="K81">
        <f t="shared" si="4"/>
        <v>3</v>
      </c>
      <c r="L81">
        <f t="shared" si="5"/>
        <v>11</v>
      </c>
    </row>
    <row r="82" spans="1:12" x14ac:dyDescent="0.3">
      <c r="A82" t="s">
        <v>196</v>
      </c>
      <c r="B82" t="s">
        <v>197</v>
      </c>
      <c r="C82">
        <v>922007214</v>
      </c>
      <c r="D82" s="3">
        <v>3990000</v>
      </c>
      <c r="E82">
        <v>5</v>
      </c>
      <c r="F82" s="5">
        <v>45645</v>
      </c>
      <c r="G82" t="s">
        <v>8</v>
      </c>
      <c r="H82" t="s">
        <v>10</v>
      </c>
      <c r="I82" t="s">
        <v>28</v>
      </c>
      <c r="J82">
        <f t="shared" si="3"/>
        <v>19950000</v>
      </c>
      <c r="K82">
        <f t="shared" si="4"/>
        <v>12</v>
      </c>
      <c r="L82">
        <f t="shared" si="5"/>
        <v>51</v>
      </c>
    </row>
    <row r="83" spans="1:12" x14ac:dyDescent="0.3">
      <c r="A83" t="s">
        <v>198</v>
      </c>
      <c r="B83" t="s">
        <v>199</v>
      </c>
      <c r="C83">
        <v>931810655</v>
      </c>
      <c r="D83" s="3">
        <v>8990000</v>
      </c>
      <c r="E83">
        <v>2</v>
      </c>
      <c r="F83" s="5">
        <v>45646</v>
      </c>
      <c r="G83" t="s">
        <v>6</v>
      </c>
      <c r="H83" t="s">
        <v>11</v>
      </c>
      <c r="I83" t="s">
        <v>34</v>
      </c>
      <c r="J83">
        <f t="shared" si="3"/>
        <v>17980000</v>
      </c>
      <c r="K83">
        <f t="shared" si="4"/>
        <v>12</v>
      </c>
      <c r="L83">
        <f t="shared" si="5"/>
        <v>51</v>
      </c>
    </row>
    <row r="84" spans="1:12" x14ac:dyDescent="0.3">
      <c r="A84" t="s">
        <v>200</v>
      </c>
      <c r="B84" t="s">
        <v>201</v>
      </c>
      <c r="C84">
        <v>929163535</v>
      </c>
      <c r="D84" s="3">
        <v>80000</v>
      </c>
      <c r="E84">
        <v>1</v>
      </c>
      <c r="F84" s="5">
        <v>45648</v>
      </c>
      <c r="G84" t="s">
        <v>6</v>
      </c>
      <c r="H84" t="s">
        <v>10</v>
      </c>
      <c r="I84" t="s">
        <v>16</v>
      </c>
      <c r="J84">
        <f t="shared" si="3"/>
        <v>80000</v>
      </c>
      <c r="K84">
        <f t="shared" si="4"/>
        <v>12</v>
      </c>
      <c r="L84">
        <f t="shared" si="5"/>
        <v>52</v>
      </c>
    </row>
    <row r="85" spans="1:12" x14ac:dyDescent="0.3">
      <c r="A85" t="s">
        <v>202</v>
      </c>
      <c r="B85" t="s">
        <v>203</v>
      </c>
      <c r="C85">
        <v>982232344</v>
      </c>
      <c r="D85" s="3">
        <v>190000</v>
      </c>
      <c r="E85">
        <v>4</v>
      </c>
      <c r="F85" s="5">
        <v>45642</v>
      </c>
      <c r="G85" t="s">
        <v>7</v>
      </c>
      <c r="H85" t="s">
        <v>10</v>
      </c>
      <c r="I85" t="s">
        <v>22</v>
      </c>
      <c r="J85">
        <f t="shared" si="3"/>
        <v>760000</v>
      </c>
      <c r="K85">
        <f t="shared" si="4"/>
        <v>12</v>
      </c>
      <c r="L85">
        <f t="shared" si="5"/>
        <v>51</v>
      </c>
    </row>
    <row r="86" spans="1:12" x14ac:dyDescent="0.3">
      <c r="A86" t="s">
        <v>204</v>
      </c>
      <c r="B86" t="s">
        <v>205</v>
      </c>
      <c r="C86">
        <v>921318464</v>
      </c>
      <c r="D86" s="3">
        <v>890000</v>
      </c>
      <c r="E86">
        <v>1</v>
      </c>
      <c r="F86" s="5">
        <v>45647</v>
      </c>
      <c r="G86" t="s">
        <v>7</v>
      </c>
      <c r="H86" t="s">
        <v>10</v>
      </c>
      <c r="I86" t="s">
        <v>35</v>
      </c>
      <c r="J86">
        <f t="shared" si="3"/>
        <v>890000</v>
      </c>
      <c r="K86">
        <f t="shared" si="4"/>
        <v>12</v>
      </c>
      <c r="L86">
        <f t="shared" si="5"/>
        <v>51</v>
      </c>
    </row>
    <row r="87" spans="1:12" x14ac:dyDescent="0.3">
      <c r="A87" t="s">
        <v>206</v>
      </c>
      <c r="B87" t="s">
        <v>207</v>
      </c>
      <c r="C87">
        <v>979654147</v>
      </c>
      <c r="D87" s="3">
        <v>3990000</v>
      </c>
      <c r="E87">
        <v>2</v>
      </c>
      <c r="F87" s="5">
        <v>45641</v>
      </c>
      <c r="G87" t="s">
        <v>7</v>
      </c>
      <c r="H87" t="s">
        <v>10</v>
      </c>
      <c r="I87" t="s">
        <v>28</v>
      </c>
      <c r="J87">
        <f t="shared" si="3"/>
        <v>7980000</v>
      </c>
      <c r="K87">
        <f t="shared" si="4"/>
        <v>12</v>
      </c>
      <c r="L87">
        <f t="shared" si="5"/>
        <v>51</v>
      </c>
    </row>
    <row r="88" spans="1:12" x14ac:dyDescent="0.3">
      <c r="A88" t="s">
        <v>208</v>
      </c>
      <c r="B88" t="s">
        <v>209</v>
      </c>
      <c r="C88">
        <v>920770971</v>
      </c>
      <c r="D88" s="3">
        <v>2990000</v>
      </c>
      <c r="E88">
        <v>5</v>
      </c>
      <c r="F88" s="5">
        <v>45657</v>
      </c>
      <c r="G88" t="s">
        <v>7</v>
      </c>
      <c r="H88" t="s">
        <v>10</v>
      </c>
      <c r="I88" t="s">
        <v>24</v>
      </c>
      <c r="J88">
        <f t="shared" si="3"/>
        <v>14950000</v>
      </c>
      <c r="K88">
        <f t="shared" si="4"/>
        <v>12</v>
      </c>
      <c r="L88">
        <f t="shared" si="5"/>
        <v>53</v>
      </c>
    </row>
    <row r="89" spans="1:12" x14ac:dyDescent="0.3">
      <c r="A89" t="s">
        <v>210</v>
      </c>
      <c r="B89" t="s">
        <v>211</v>
      </c>
      <c r="C89">
        <v>978139880</v>
      </c>
      <c r="D89" s="3">
        <v>18990000</v>
      </c>
      <c r="E89">
        <v>2</v>
      </c>
      <c r="F89" s="5">
        <v>45654</v>
      </c>
      <c r="G89" t="s">
        <v>8</v>
      </c>
      <c r="H89" t="s">
        <v>9</v>
      </c>
      <c r="I89" t="s">
        <v>15</v>
      </c>
      <c r="J89">
        <f t="shared" si="3"/>
        <v>37980000</v>
      </c>
      <c r="K89">
        <f t="shared" si="4"/>
        <v>12</v>
      </c>
      <c r="L89">
        <f t="shared" si="5"/>
        <v>52</v>
      </c>
    </row>
    <row r="90" spans="1:12" x14ac:dyDescent="0.3">
      <c r="A90" t="s">
        <v>212</v>
      </c>
      <c r="B90" t="s">
        <v>213</v>
      </c>
      <c r="C90">
        <v>925372341</v>
      </c>
      <c r="D90" s="3">
        <v>190000</v>
      </c>
      <c r="E90">
        <v>3</v>
      </c>
      <c r="F90" s="5">
        <v>45653</v>
      </c>
      <c r="G90" t="s">
        <v>7</v>
      </c>
      <c r="H90" t="s">
        <v>10</v>
      </c>
      <c r="I90" t="s">
        <v>22</v>
      </c>
      <c r="J90">
        <f t="shared" si="3"/>
        <v>570000</v>
      </c>
      <c r="K90">
        <f t="shared" si="4"/>
        <v>12</v>
      </c>
      <c r="L90">
        <f t="shared" si="5"/>
        <v>52</v>
      </c>
    </row>
    <row r="91" spans="1:12" x14ac:dyDescent="0.3">
      <c r="A91" t="s">
        <v>214</v>
      </c>
      <c r="B91" t="s">
        <v>215</v>
      </c>
      <c r="C91">
        <v>970505620</v>
      </c>
      <c r="D91" s="3">
        <v>9990000</v>
      </c>
      <c r="E91">
        <v>2</v>
      </c>
      <c r="F91" s="5">
        <v>45651</v>
      </c>
      <c r="G91" t="s">
        <v>7</v>
      </c>
      <c r="H91" t="s">
        <v>9</v>
      </c>
      <c r="I91" t="s">
        <v>12</v>
      </c>
      <c r="J91">
        <f t="shared" si="3"/>
        <v>19980000</v>
      </c>
      <c r="K91">
        <f t="shared" si="4"/>
        <v>12</v>
      </c>
      <c r="L91">
        <f t="shared" si="5"/>
        <v>52</v>
      </c>
    </row>
    <row r="92" spans="1:12" x14ac:dyDescent="0.3">
      <c r="A92" t="s">
        <v>216</v>
      </c>
      <c r="B92" t="s">
        <v>217</v>
      </c>
      <c r="C92">
        <v>998610233</v>
      </c>
      <c r="D92" s="3">
        <v>8900000</v>
      </c>
      <c r="E92">
        <v>1</v>
      </c>
      <c r="F92" s="5">
        <v>45646</v>
      </c>
      <c r="G92" t="s">
        <v>6</v>
      </c>
      <c r="H92" t="s">
        <v>11</v>
      </c>
      <c r="I92" t="s">
        <v>21</v>
      </c>
      <c r="J92">
        <f t="shared" si="3"/>
        <v>8900000</v>
      </c>
      <c r="K92">
        <f t="shared" si="4"/>
        <v>12</v>
      </c>
      <c r="L92">
        <f t="shared" si="5"/>
        <v>51</v>
      </c>
    </row>
    <row r="93" spans="1:12" x14ac:dyDescent="0.3">
      <c r="A93" t="s">
        <v>218</v>
      </c>
      <c r="B93" t="s">
        <v>219</v>
      </c>
      <c r="C93">
        <v>976795767</v>
      </c>
      <c r="D93" s="3">
        <v>280000</v>
      </c>
      <c r="E93">
        <v>4</v>
      </c>
      <c r="F93" s="5">
        <v>45424</v>
      </c>
      <c r="G93" t="s">
        <v>7</v>
      </c>
      <c r="H93" t="s">
        <v>10</v>
      </c>
      <c r="I93" t="s">
        <v>32</v>
      </c>
      <c r="J93">
        <f t="shared" si="3"/>
        <v>1120000</v>
      </c>
      <c r="K93">
        <f t="shared" si="4"/>
        <v>5</v>
      </c>
      <c r="L93">
        <f t="shared" si="5"/>
        <v>20</v>
      </c>
    </row>
    <row r="94" spans="1:12" x14ac:dyDescent="0.3">
      <c r="A94" t="s">
        <v>220</v>
      </c>
      <c r="B94" t="s">
        <v>221</v>
      </c>
      <c r="C94">
        <v>961053877</v>
      </c>
      <c r="D94" s="3">
        <v>150000</v>
      </c>
      <c r="E94">
        <v>3</v>
      </c>
      <c r="F94" s="5">
        <v>45627</v>
      </c>
      <c r="G94" t="s">
        <v>7</v>
      </c>
      <c r="H94" t="s">
        <v>10</v>
      </c>
      <c r="I94" t="s">
        <v>27</v>
      </c>
      <c r="J94">
        <f t="shared" si="3"/>
        <v>450000</v>
      </c>
      <c r="K94">
        <f t="shared" si="4"/>
        <v>12</v>
      </c>
      <c r="L94">
        <f t="shared" si="5"/>
        <v>49</v>
      </c>
    </row>
    <row r="95" spans="1:12" x14ac:dyDescent="0.3">
      <c r="A95" t="s">
        <v>222</v>
      </c>
      <c r="B95" t="s">
        <v>223</v>
      </c>
      <c r="C95">
        <v>919794273</v>
      </c>
      <c r="D95" s="3">
        <v>5290000</v>
      </c>
      <c r="E95">
        <v>4</v>
      </c>
      <c r="F95" s="5">
        <v>45334</v>
      </c>
      <c r="G95" t="s">
        <v>8</v>
      </c>
      <c r="H95" t="s">
        <v>10</v>
      </c>
      <c r="I95" t="s">
        <v>29</v>
      </c>
      <c r="J95">
        <f t="shared" si="3"/>
        <v>21160000</v>
      </c>
      <c r="K95">
        <f t="shared" si="4"/>
        <v>2</v>
      </c>
      <c r="L95">
        <f t="shared" si="5"/>
        <v>7</v>
      </c>
    </row>
    <row r="96" spans="1:12" x14ac:dyDescent="0.3">
      <c r="A96" t="s">
        <v>224</v>
      </c>
      <c r="B96" t="s">
        <v>225</v>
      </c>
      <c r="C96">
        <v>924208709</v>
      </c>
      <c r="D96" s="3">
        <v>9990000</v>
      </c>
      <c r="E96">
        <v>2</v>
      </c>
      <c r="F96" s="5">
        <v>45640</v>
      </c>
      <c r="G96" t="s">
        <v>7</v>
      </c>
      <c r="H96" t="s">
        <v>9</v>
      </c>
      <c r="I96" t="s">
        <v>12</v>
      </c>
      <c r="J96">
        <f t="shared" si="3"/>
        <v>19980000</v>
      </c>
      <c r="K96">
        <f t="shared" si="4"/>
        <v>12</v>
      </c>
      <c r="L96">
        <f t="shared" si="5"/>
        <v>50</v>
      </c>
    </row>
    <row r="97" spans="1:12" x14ac:dyDescent="0.3">
      <c r="A97" t="s">
        <v>226</v>
      </c>
      <c r="B97" t="s">
        <v>227</v>
      </c>
      <c r="C97">
        <v>924165187</v>
      </c>
      <c r="D97" s="3">
        <v>8900000</v>
      </c>
      <c r="E97">
        <v>2</v>
      </c>
      <c r="F97" s="5">
        <v>45657</v>
      </c>
      <c r="G97" t="s">
        <v>8</v>
      </c>
      <c r="H97" t="s">
        <v>11</v>
      </c>
      <c r="I97" t="s">
        <v>21</v>
      </c>
      <c r="J97">
        <f t="shared" si="3"/>
        <v>17800000</v>
      </c>
      <c r="K97">
        <f t="shared" si="4"/>
        <v>12</v>
      </c>
      <c r="L97">
        <f t="shared" si="5"/>
        <v>53</v>
      </c>
    </row>
    <row r="98" spans="1:12" x14ac:dyDescent="0.3">
      <c r="A98" t="s">
        <v>228</v>
      </c>
      <c r="B98" t="s">
        <v>229</v>
      </c>
      <c r="C98">
        <v>911097552</v>
      </c>
      <c r="D98" s="3">
        <v>18990000</v>
      </c>
      <c r="E98">
        <v>2</v>
      </c>
      <c r="F98" s="5">
        <v>45640</v>
      </c>
      <c r="G98" t="s">
        <v>7</v>
      </c>
      <c r="H98" t="s">
        <v>9</v>
      </c>
      <c r="I98" t="s">
        <v>15</v>
      </c>
      <c r="J98">
        <f t="shared" si="3"/>
        <v>37980000</v>
      </c>
      <c r="K98">
        <f t="shared" si="4"/>
        <v>12</v>
      </c>
      <c r="L98">
        <f t="shared" si="5"/>
        <v>50</v>
      </c>
    </row>
    <row r="99" spans="1:12" x14ac:dyDescent="0.3">
      <c r="A99" t="s">
        <v>230</v>
      </c>
      <c r="B99" t="s">
        <v>231</v>
      </c>
      <c r="C99">
        <v>959805178</v>
      </c>
      <c r="D99" s="3">
        <v>28990000</v>
      </c>
      <c r="E99">
        <v>1</v>
      </c>
      <c r="F99" s="5">
        <v>45644</v>
      </c>
      <c r="G99" t="s">
        <v>6</v>
      </c>
      <c r="H99" t="s">
        <v>9</v>
      </c>
      <c r="I99" t="s">
        <v>18</v>
      </c>
      <c r="J99">
        <f t="shared" si="3"/>
        <v>28990000</v>
      </c>
      <c r="K99">
        <f t="shared" si="4"/>
        <v>12</v>
      </c>
      <c r="L99">
        <f t="shared" si="5"/>
        <v>51</v>
      </c>
    </row>
    <row r="100" spans="1:12" x14ac:dyDescent="0.3">
      <c r="A100" t="s">
        <v>232</v>
      </c>
      <c r="B100" t="s">
        <v>233</v>
      </c>
      <c r="C100">
        <v>936998038</v>
      </c>
      <c r="D100" s="3">
        <v>5290000</v>
      </c>
      <c r="E100">
        <v>3</v>
      </c>
      <c r="F100" s="5">
        <v>45636</v>
      </c>
      <c r="G100" t="s">
        <v>7</v>
      </c>
      <c r="H100" t="s">
        <v>10</v>
      </c>
      <c r="I100" t="s">
        <v>29</v>
      </c>
      <c r="J100">
        <f t="shared" si="3"/>
        <v>15870000</v>
      </c>
      <c r="K100">
        <f t="shared" si="4"/>
        <v>12</v>
      </c>
      <c r="L100">
        <f t="shared" si="5"/>
        <v>50</v>
      </c>
    </row>
    <row r="101" spans="1:12" x14ac:dyDescent="0.3">
      <c r="A101" t="s">
        <v>234</v>
      </c>
      <c r="B101" t="s">
        <v>235</v>
      </c>
      <c r="C101">
        <v>982937948</v>
      </c>
      <c r="D101" s="3">
        <v>8990000</v>
      </c>
      <c r="E101">
        <v>1</v>
      </c>
      <c r="F101" s="5">
        <v>45641</v>
      </c>
      <c r="G101" t="s">
        <v>7</v>
      </c>
      <c r="H101" t="s">
        <v>11</v>
      </c>
      <c r="I101" t="s">
        <v>34</v>
      </c>
      <c r="J101">
        <f t="shared" si="3"/>
        <v>8990000</v>
      </c>
      <c r="K101">
        <f t="shared" si="4"/>
        <v>12</v>
      </c>
      <c r="L101">
        <f t="shared" si="5"/>
        <v>51</v>
      </c>
    </row>
    <row r="102" spans="1:12" x14ac:dyDescent="0.3">
      <c r="A102" t="s">
        <v>236</v>
      </c>
      <c r="B102" t="s">
        <v>237</v>
      </c>
      <c r="C102">
        <v>976845536</v>
      </c>
      <c r="D102" s="3">
        <v>3990000</v>
      </c>
      <c r="E102">
        <v>3</v>
      </c>
      <c r="F102" s="5">
        <v>45644</v>
      </c>
      <c r="G102" t="s">
        <v>6</v>
      </c>
      <c r="H102" t="s">
        <v>10</v>
      </c>
      <c r="I102" t="s">
        <v>28</v>
      </c>
      <c r="J102">
        <f t="shared" si="3"/>
        <v>11970000</v>
      </c>
      <c r="K102">
        <f t="shared" si="4"/>
        <v>12</v>
      </c>
      <c r="L102">
        <f t="shared" si="5"/>
        <v>51</v>
      </c>
    </row>
    <row r="103" spans="1:12" x14ac:dyDescent="0.3">
      <c r="A103" t="s">
        <v>238</v>
      </c>
      <c r="B103" t="s">
        <v>239</v>
      </c>
      <c r="C103">
        <v>955176955</v>
      </c>
      <c r="D103" s="3">
        <v>18990000</v>
      </c>
      <c r="E103">
        <v>1</v>
      </c>
      <c r="F103" s="5">
        <v>45629</v>
      </c>
      <c r="G103" t="s">
        <v>6</v>
      </c>
      <c r="H103" t="s">
        <v>9</v>
      </c>
      <c r="I103" t="s">
        <v>15</v>
      </c>
      <c r="J103">
        <f t="shared" si="3"/>
        <v>18990000</v>
      </c>
      <c r="K103">
        <f t="shared" si="4"/>
        <v>12</v>
      </c>
      <c r="L103">
        <f t="shared" si="5"/>
        <v>49</v>
      </c>
    </row>
    <row r="104" spans="1:12" x14ac:dyDescent="0.3">
      <c r="A104" t="s">
        <v>240</v>
      </c>
      <c r="B104" t="s">
        <v>241</v>
      </c>
      <c r="C104">
        <v>975575808</v>
      </c>
      <c r="D104" s="3">
        <v>450000</v>
      </c>
      <c r="E104">
        <v>4</v>
      </c>
      <c r="F104" s="5">
        <v>45651</v>
      </c>
      <c r="G104" t="s">
        <v>7</v>
      </c>
      <c r="H104" t="s">
        <v>10</v>
      </c>
      <c r="I104" t="s">
        <v>23</v>
      </c>
      <c r="J104">
        <f t="shared" si="3"/>
        <v>1800000</v>
      </c>
      <c r="K104">
        <f t="shared" si="4"/>
        <v>12</v>
      </c>
      <c r="L104">
        <f t="shared" si="5"/>
        <v>52</v>
      </c>
    </row>
    <row r="105" spans="1:12" x14ac:dyDescent="0.3">
      <c r="A105" t="s">
        <v>242</v>
      </c>
      <c r="B105" t="s">
        <v>243</v>
      </c>
      <c r="C105">
        <v>988461803</v>
      </c>
      <c r="D105" s="3">
        <v>8900000</v>
      </c>
      <c r="E105">
        <v>2</v>
      </c>
      <c r="F105" s="5">
        <v>45655</v>
      </c>
      <c r="G105" t="s">
        <v>8</v>
      </c>
      <c r="H105" t="s">
        <v>11</v>
      </c>
      <c r="I105" t="s">
        <v>21</v>
      </c>
      <c r="J105">
        <f t="shared" si="3"/>
        <v>17800000</v>
      </c>
      <c r="K105">
        <f t="shared" si="4"/>
        <v>12</v>
      </c>
      <c r="L105">
        <f t="shared" si="5"/>
        <v>53</v>
      </c>
    </row>
    <row r="106" spans="1:12" x14ac:dyDescent="0.3">
      <c r="A106" t="s">
        <v>244</v>
      </c>
      <c r="B106" t="s">
        <v>245</v>
      </c>
      <c r="C106">
        <v>931306555</v>
      </c>
      <c r="D106" s="3">
        <v>9990000</v>
      </c>
      <c r="E106">
        <v>2</v>
      </c>
      <c r="F106" s="5">
        <v>45638</v>
      </c>
      <c r="G106" t="s">
        <v>6</v>
      </c>
      <c r="H106" t="s">
        <v>11</v>
      </c>
      <c r="I106" t="s">
        <v>25</v>
      </c>
      <c r="J106">
        <f t="shared" si="3"/>
        <v>19980000</v>
      </c>
      <c r="K106">
        <f t="shared" si="4"/>
        <v>12</v>
      </c>
      <c r="L106">
        <f t="shared" si="5"/>
        <v>50</v>
      </c>
    </row>
    <row r="107" spans="1:12" x14ac:dyDescent="0.3">
      <c r="A107" t="s">
        <v>246</v>
      </c>
      <c r="B107" t="s">
        <v>247</v>
      </c>
      <c r="C107">
        <v>931803703</v>
      </c>
      <c r="D107" s="3">
        <v>280000</v>
      </c>
      <c r="E107">
        <v>4</v>
      </c>
      <c r="F107" s="5">
        <v>45634</v>
      </c>
      <c r="G107" t="s">
        <v>7</v>
      </c>
      <c r="H107" t="s">
        <v>10</v>
      </c>
      <c r="I107" t="s">
        <v>32</v>
      </c>
      <c r="J107">
        <f t="shared" si="3"/>
        <v>1120000</v>
      </c>
      <c r="K107">
        <f t="shared" si="4"/>
        <v>12</v>
      </c>
      <c r="L107">
        <f t="shared" si="5"/>
        <v>50</v>
      </c>
    </row>
    <row r="108" spans="1:12" x14ac:dyDescent="0.3">
      <c r="A108" t="s">
        <v>248</v>
      </c>
      <c r="B108" t="s">
        <v>249</v>
      </c>
      <c r="C108">
        <v>920814950</v>
      </c>
      <c r="D108" s="3">
        <v>25990000</v>
      </c>
      <c r="E108">
        <v>2</v>
      </c>
      <c r="F108" s="5">
        <v>45424</v>
      </c>
      <c r="G108" t="s">
        <v>8</v>
      </c>
      <c r="H108" t="s">
        <v>9</v>
      </c>
      <c r="I108" t="s">
        <v>26</v>
      </c>
      <c r="J108">
        <f t="shared" si="3"/>
        <v>51980000</v>
      </c>
      <c r="K108">
        <f t="shared" si="4"/>
        <v>5</v>
      </c>
      <c r="L108">
        <f t="shared" si="5"/>
        <v>20</v>
      </c>
    </row>
    <row r="109" spans="1:12" x14ac:dyDescent="0.3">
      <c r="A109" t="s">
        <v>250</v>
      </c>
      <c r="B109" t="s">
        <v>251</v>
      </c>
      <c r="C109">
        <v>940884937</v>
      </c>
      <c r="D109" s="3">
        <v>890000</v>
      </c>
      <c r="E109">
        <v>3</v>
      </c>
      <c r="F109" s="5">
        <v>45644</v>
      </c>
      <c r="G109" t="s">
        <v>6</v>
      </c>
      <c r="H109" t="s">
        <v>10</v>
      </c>
      <c r="I109" t="s">
        <v>35</v>
      </c>
      <c r="J109">
        <f t="shared" si="3"/>
        <v>2670000</v>
      </c>
      <c r="K109">
        <f t="shared" si="4"/>
        <v>12</v>
      </c>
      <c r="L109">
        <f t="shared" si="5"/>
        <v>51</v>
      </c>
    </row>
    <row r="110" spans="1:12" x14ac:dyDescent="0.3">
      <c r="A110" t="s">
        <v>252</v>
      </c>
      <c r="B110" t="s">
        <v>253</v>
      </c>
      <c r="C110">
        <v>928463709</v>
      </c>
      <c r="D110" s="3">
        <v>25990000</v>
      </c>
      <c r="E110">
        <v>1</v>
      </c>
      <c r="F110" s="5">
        <v>45629</v>
      </c>
      <c r="G110" t="s">
        <v>6</v>
      </c>
      <c r="H110" t="s">
        <v>9</v>
      </c>
      <c r="I110" t="s">
        <v>26</v>
      </c>
      <c r="J110">
        <f t="shared" si="3"/>
        <v>25990000</v>
      </c>
      <c r="K110">
        <f t="shared" si="4"/>
        <v>12</v>
      </c>
      <c r="L110">
        <f t="shared" si="5"/>
        <v>49</v>
      </c>
    </row>
    <row r="111" spans="1:12" x14ac:dyDescent="0.3">
      <c r="A111" t="s">
        <v>254</v>
      </c>
      <c r="B111" t="s">
        <v>255</v>
      </c>
      <c r="C111">
        <v>975581613</v>
      </c>
      <c r="D111" s="3">
        <v>250000</v>
      </c>
      <c r="E111">
        <v>4</v>
      </c>
      <c r="F111" s="5">
        <v>45647</v>
      </c>
      <c r="G111" t="s">
        <v>7</v>
      </c>
      <c r="H111" t="s">
        <v>10</v>
      </c>
      <c r="I111" t="s">
        <v>33</v>
      </c>
      <c r="J111">
        <f t="shared" si="3"/>
        <v>1000000</v>
      </c>
      <c r="K111">
        <f t="shared" si="4"/>
        <v>12</v>
      </c>
      <c r="L111">
        <f t="shared" si="5"/>
        <v>51</v>
      </c>
    </row>
    <row r="112" spans="1:12" x14ac:dyDescent="0.3">
      <c r="A112" t="s">
        <v>256</v>
      </c>
      <c r="B112" t="s">
        <v>257</v>
      </c>
      <c r="C112">
        <v>971066203</v>
      </c>
      <c r="D112" s="3">
        <v>250000</v>
      </c>
      <c r="E112">
        <v>4</v>
      </c>
      <c r="F112" s="5">
        <v>45646</v>
      </c>
      <c r="G112" t="s">
        <v>7</v>
      </c>
      <c r="H112" t="s">
        <v>10</v>
      </c>
      <c r="I112" t="s">
        <v>33</v>
      </c>
      <c r="J112">
        <f t="shared" si="3"/>
        <v>1000000</v>
      </c>
      <c r="K112">
        <f t="shared" si="4"/>
        <v>12</v>
      </c>
      <c r="L112">
        <f t="shared" si="5"/>
        <v>51</v>
      </c>
    </row>
    <row r="113" spans="1:12" x14ac:dyDescent="0.3">
      <c r="A113" t="s">
        <v>258</v>
      </c>
      <c r="B113" t="s">
        <v>259</v>
      </c>
      <c r="C113">
        <v>986460539</v>
      </c>
      <c r="D113" s="3">
        <v>9990000</v>
      </c>
      <c r="E113">
        <v>1</v>
      </c>
      <c r="F113" s="5">
        <v>45645</v>
      </c>
      <c r="G113" t="s">
        <v>6</v>
      </c>
      <c r="H113" t="s">
        <v>9</v>
      </c>
      <c r="I113" t="s">
        <v>12</v>
      </c>
      <c r="J113">
        <f t="shared" si="3"/>
        <v>9990000</v>
      </c>
      <c r="K113">
        <f t="shared" si="4"/>
        <v>12</v>
      </c>
      <c r="L113">
        <f t="shared" si="5"/>
        <v>51</v>
      </c>
    </row>
    <row r="114" spans="1:12" x14ac:dyDescent="0.3">
      <c r="A114" t="s">
        <v>260</v>
      </c>
      <c r="B114" t="s">
        <v>261</v>
      </c>
      <c r="C114">
        <v>989968863</v>
      </c>
      <c r="D114" s="3">
        <v>28990000</v>
      </c>
      <c r="E114">
        <v>2</v>
      </c>
      <c r="F114" s="5">
        <v>45643</v>
      </c>
      <c r="G114" t="s">
        <v>8</v>
      </c>
      <c r="H114" t="s">
        <v>9</v>
      </c>
      <c r="I114" t="s">
        <v>18</v>
      </c>
      <c r="J114">
        <f t="shared" si="3"/>
        <v>57980000</v>
      </c>
      <c r="K114">
        <f t="shared" si="4"/>
        <v>12</v>
      </c>
      <c r="L114">
        <f t="shared" si="5"/>
        <v>51</v>
      </c>
    </row>
    <row r="115" spans="1:12" x14ac:dyDescent="0.3">
      <c r="A115" t="s">
        <v>262</v>
      </c>
      <c r="B115" t="s">
        <v>263</v>
      </c>
      <c r="C115">
        <v>997477029</v>
      </c>
      <c r="D115" s="3">
        <v>22990000</v>
      </c>
      <c r="E115">
        <v>1</v>
      </c>
      <c r="F115" s="5">
        <v>45651</v>
      </c>
      <c r="G115" t="s">
        <v>6</v>
      </c>
      <c r="H115" t="s">
        <v>9</v>
      </c>
      <c r="I115" t="s">
        <v>36</v>
      </c>
      <c r="J115">
        <f t="shared" si="3"/>
        <v>22990000</v>
      </c>
      <c r="K115">
        <f t="shared" si="4"/>
        <v>12</v>
      </c>
      <c r="L115">
        <f t="shared" si="5"/>
        <v>52</v>
      </c>
    </row>
    <row r="116" spans="1:12" x14ac:dyDescent="0.3">
      <c r="A116" t="s">
        <v>264</v>
      </c>
      <c r="B116" t="s">
        <v>265</v>
      </c>
      <c r="C116">
        <v>918469210</v>
      </c>
      <c r="D116" s="3">
        <v>5290000</v>
      </c>
      <c r="E116">
        <v>1</v>
      </c>
      <c r="F116" s="5">
        <v>45651</v>
      </c>
      <c r="G116" t="s">
        <v>8</v>
      </c>
      <c r="H116" t="s">
        <v>10</v>
      </c>
      <c r="I116" t="s">
        <v>29</v>
      </c>
      <c r="J116">
        <f t="shared" si="3"/>
        <v>5290000</v>
      </c>
      <c r="K116">
        <f t="shared" si="4"/>
        <v>12</v>
      </c>
      <c r="L116">
        <f t="shared" si="5"/>
        <v>52</v>
      </c>
    </row>
    <row r="117" spans="1:12" x14ac:dyDescent="0.3">
      <c r="A117" t="s">
        <v>266</v>
      </c>
      <c r="B117" t="s">
        <v>267</v>
      </c>
      <c r="C117">
        <v>973560289</v>
      </c>
      <c r="D117" s="3">
        <v>2990000</v>
      </c>
      <c r="E117">
        <v>2</v>
      </c>
      <c r="F117" s="5">
        <v>45630</v>
      </c>
      <c r="G117" t="s">
        <v>7</v>
      </c>
      <c r="H117" t="s">
        <v>10</v>
      </c>
      <c r="I117" t="s">
        <v>24</v>
      </c>
      <c r="J117">
        <f t="shared" si="3"/>
        <v>5980000</v>
      </c>
      <c r="K117">
        <f t="shared" si="4"/>
        <v>12</v>
      </c>
      <c r="L117">
        <f t="shared" si="5"/>
        <v>49</v>
      </c>
    </row>
    <row r="118" spans="1:12" x14ac:dyDescent="0.3">
      <c r="A118" t="s">
        <v>268</v>
      </c>
      <c r="B118" t="s">
        <v>269</v>
      </c>
      <c r="C118">
        <v>986134287</v>
      </c>
      <c r="D118" s="3">
        <v>22990000</v>
      </c>
      <c r="E118">
        <v>2</v>
      </c>
      <c r="F118" s="5">
        <v>45646</v>
      </c>
      <c r="G118" t="s">
        <v>8</v>
      </c>
      <c r="H118" t="s">
        <v>9</v>
      </c>
      <c r="I118" t="s">
        <v>36</v>
      </c>
      <c r="J118">
        <f t="shared" si="3"/>
        <v>45980000</v>
      </c>
      <c r="K118">
        <f t="shared" si="4"/>
        <v>12</v>
      </c>
      <c r="L118">
        <f t="shared" si="5"/>
        <v>51</v>
      </c>
    </row>
    <row r="119" spans="1:12" x14ac:dyDescent="0.3">
      <c r="A119" t="s">
        <v>270</v>
      </c>
      <c r="B119" t="s">
        <v>271</v>
      </c>
      <c r="C119">
        <v>929538047</v>
      </c>
      <c r="D119" s="3">
        <v>9990000</v>
      </c>
      <c r="E119">
        <v>1</v>
      </c>
      <c r="F119" s="5">
        <v>45643</v>
      </c>
      <c r="G119" t="s">
        <v>6</v>
      </c>
      <c r="H119" t="s">
        <v>9</v>
      </c>
      <c r="I119" t="s">
        <v>12</v>
      </c>
      <c r="J119">
        <f t="shared" si="3"/>
        <v>9990000</v>
      </c>
      <c r="K119">
        <f t="shared" si="4"/>
        <v>12</v>
      </c>
      <c r="L119">
        <f t="shared" si="5"/>
        <v>51</v>
      </c>
    </row>
    <row r="120" spans="1:12" x14ac:dyDescent="0.3">
      <c r="A120" t="s">
        <v>272</v>
      </c>
      <c r="B120" t="s">
        <v>273</v>
      </c>
      <c r="C120">
        <v>975609379</v>
      </c>
      <c r="D120" s="3">
        <v>28990000</v>
      </c>
      <c r="E120">
        <v>2</v>
      </c>
      <c r="F120" s="5">
        <v>45655</v>
      </c>
      <c r="G120" t="s">
        <v>6</v>
      </c>
      <c r="H120" t="s">
        <v>9</v>
      </c>
      <c r="I120" t="s">
        <v>18</v>
      </c>
      <c r="J120">
        <f t="shared" si="3"/>
        <v>57980000</v>
      </c>
      <c r="K120">
        <f t="shared" si="4"/>
        <v>12</v>
      </c>
      <c r="L120">
        <f t="shared" si="5"/>
        <v>53</v>
      </c>
    </row>
    <row r="121" spans="1:12" x14ac:dyDescent="0.3">
      <c r="A121" t="s">
        <v>274</v>
      </c>
      <c r="B121" t="s">
        <v>275</v>
      </c>
      <c r="C121">
        <v>938375916</v>
      </c>
      <c r="D121" s="3">
        <v>5290000</v>
      </c>
      <c r="E121">
        <v>4</v>
      </c>
      <c r="F121" s="5">
        <v>45655</v>
      </c>
      <c r="G121" t="s">
        <v>8</v>
      </c>
      <c r="H121" t="s">
        <v>10</v>
      </c>
      <c r="I121" t="s">
        <v>29</v>
      </c>
      <c r="J121">
        <f t="shared" si="3"/>
        <v>21160000</v>
      </c>
      <c r="K121">
        <f t="shared" si="4"/>
        <v>12</v>
      </c>
      <c r="L121">
        <f t="shared" si="5"/>
        <v>53</v>
      </c>
    </row>
    <row r="122" spans="1:12" x14ac:dyDescent="0.3">
      <c r="A122" t="s">
        <v>276</v>
      </c>
      <c r="B122" t="s">
        <v>277</v>
      </c>
      <c r="C122">
        <v>973297813</v>
      </c>
      <c r="D122" s="3">
        <v>250000</v>
      </c>
      <c r="E122">
        <v>2</v>
      </c>
      <c r="F122" s="5">
        <v>45650</v>
      </c>
      <c r="G122" t="s">
        <v>7</v>
      </c>
      <c r="H122" t="s">
        <v>10</v>
      </c>
      <c r="I122" t="s">
        <v>33</v>
      </c>
      <c r="J122">
        <f t="shared" si="3"/>
        <v>500000</v>
      </c>
      <c r="K122">
        <f t="shared" si="4"/>
        <v>12</v>
      </c>
      <c r="L122">
        <f t="shared" si="5"/>
        <v>52</v>
      </c>
    </row>
    <row r="123" spans="1:12" x14ac:dyDescent="0.3">
      <c r="A123" t="s">
        <v>278</v>
      </c>
      <c r="B123" t="s">
        <v>279</v>
      </c>
      <c r="C123">
        <v>918715975</v>
      </c>
      <c r="D123" s="3">
        <v>450000</v>
      </c>
      <c r="E123">
        <v>3</v>
      </c>
      <c r="F123" s="5">
        <v>45644</v>
      </c>
      <c r="G123" t="s">
        <v>6</v>
      </c>
      <c r="H123" t="s">
        <v>10</v>
      </c>
      <c r="I123" t="s">
        <v>23</v>
      </c>
      <c r="J123">
        <f t="shared" si="3"/>
        <v>1350000</v>
      </c>
      <c r="K123">
        <f t="shared" si="4"/>
        <v>12</v>
      </c>
      <c r="L123">
        <f t="shared" si="5"/>
        <v>51</v>
      </c>
    </row>
    <row r="124" spans="1:12" x14ac:dyDescent="0.3">
      <c r="A124" t="s">
        <v>280</v>
      </c>
      <c r="B124" t="s">
        <v>281</v>
      </c>
      <c r="C124">
        <v>978829070</v>
      </c>
      <c r="D124" s="3">
        <v>150000</v>
      </c>
      <c r="E124">
        <v>4</v>
      </c>
      <c r="F124" s="5">
        <v>45641</v>
      </c>
      <c r="G124" t="s">
        <v>7</v>
      </c>
      <c r="H124" t="s">
        <v>10</v>
      </c>
      <c r="I124" t="s">
        <v>27</v>
      </c>
      <c r="J124">
        <f t="shared" si="3"/>
        <v>600000</v>
      </c>
      <c r="K124">
        <f t="shared" si="4"/>
        <v>12</v>
      </c>
      <c r="L124">
        <f t="shared" si="5"/>
        <v>51</v>
      </c>
    </row>
    <row r="125" spans="1:12" x14ac:dyDescent="0.3">
      <c r="A125" t="s">
        <v>282</v>
      </c>
      <c r="B125" t="s">
        <v>283</v>
      </c>
      <c r="C125">
        <v>972005415</v>
      </c>
      <c r="D125" s="3">
        <v>8900000</v>
      </c>
      <c r="E125">
        <v>2</v>
      </c>
      <c r="F125" s="5">
        <v>45334</v>
      </c>
      <c r="G125" t="s">
        <v>6</v>
      </c>
      <c r="H125" t="s">
        <v>11</v>
      </c>
      <c r="I125" t="s">
        <v>21</v>
      </c>
      <c r="J125">
        <f t="shared" si="3"/>
        <v>17800000</v>
      </c>
      <c r="K125">
        <f t="shared" si="4"/>
        <v>2</v>
      </c>
      <c r="L125">
        <f t="shared" si="5"/>
        <v>7</v>
      </c>
    </row>
    <row r="126" spans="1:12" x14ac:dyDescent="0.3">
      <c r="A126" t="s">
        <v>284</v>
      </c>
      <c r="B126" t="s">
        <v>285</v>
      </c>
      <c r="C126">
        <v>924972279</v>
      </c>
      <c r="D126" s="3">
        <v>12500000</v>
      </c>
      <c r="E126">
        <v>2</v>
      </c>
      <c r="F126" s="5">
        <v>45640</v>
      </c>
      <c r="G126" t="s">
        <v>6</v>
      </c>
      <c r="H126" t="s">
        <v>11</v>
      </c>
      <c r="I126" t="s">
        <v>20</v>
      </c>
      <c r="J126">
        <f t="shared" si="3"/>
        <v>25000000</v>
      </c>
      <c r="K126">
        <f t="shared" si="4"/>
        <v>12</v>
      </c>
      <c r="L126">
        <f t="shared" si="5"/>
        <v>50</v>
      </c>
    </row>
    <row r="127" spans="1:12" x14ac:dyDescent="0.3">
      <c r="A127" t="s">
        <v>286</v>
      </c>
      <c r="B127" t="s">
        <v>287</v>
      </c>
      <c r="C127">
        <v>933002714</v>
      </c>
      <c r="D127" s="3">
        <v>28990000</v>
      </c>
      <c r="E127">
        <v>2</v>
      </c>
      <c r="F127" s="5">
        <v>45642</v>
      </c>
      <c r="G127" t="s">
        <v>8</v>
      </c>
      <c r="H127" t="s">
        <v>9</v>
      </c>
      <c r="I127" t="s">
        <v>18</v>
      </c>
      <c r="J127">
        <f t="shared" si="3"/>
        <v>57980000</v>
      </c>
      <c r="K127">
        <f t="shared" si="4"/>
        <v>12</v>
      </c>
      <c r="L127">
        <f t="shared" si="5"/>
        <v>51</v>
      </c>
    </row>
    <row r="128" spans="1:12" x14ac:dyDescent="0.3">
      <c r="A128" t="s">
        <v>288</v>
      </c>
      <c r="B128" t="s">
        <v>289</v>
      </c>
      <c r="C128">
        <v>960192261</v>
      </c>
      <c r="D128" s="3">
        <v>9990000</v>
      </c>
      <c r="E128">
        <v>2</v>
      </c>
      <c r="F128" s="5">
        <v>45639</v>
      </c>
      <c r="G128" t="s">
        <v>8</v>
      </c>
      <c r="H128" t="s">
        <v>9</v>
      </c>
      <c r="I128" t="s">
        <v>12</v>
      </c>
      <c r="J128">
        <f t="shared" si="3"/>
        <v>19980000</v>
      </c>
      <c r="K128">
        <f t="shared" si="4"/>
        <v>12</v>
      </c>
      <c r="L128">
        <f t="shared" si="5"/>
        <v>50</v>
      </c>
    </row>
    <row r="129" spans="1:12" x14ac:dyDescent="0.3">
      <c r="A129" t="s">
        <v>290</v>
      </c>
      <c r="B129" t="s">
        <v>291</v>
      </c>
      <c r="C129">
        <v>916679008</v>
      </c>
      <c r="D129" s="3">
        <v>2990000</v>
      </c>
      <c r="E129">
        <v>4</v>
      </c>
      <c r="F129" s="5">
        <v>45629</v>
      </c>
      <c r="G129" t="s">
        <v>6</v>
      </c>
      <c r="H129" t="s">
        <v>10</v>
      </c>
      <c r="I129" t="s">
        <v>24</v>
      </c>
      <c r="J129">
        <f t="shared" si="3"/>
        <v>11960000</v>
      </c>
      <c r="K129">
        <f t="shared" si="4"/>
        <v>12</v>
      </c>
      <c r="L129">
        <f t="shared" si="5"/>
        <v>49</v>
      </c>
    </row>
    <row r="130" spans="1:12" x14ac:dyDescent="0.3">
      <c r="A130" t="s">
        <v>292</v>
      </c>
      <c r="B130" t="s">
        <v>293</v>
      </c>
      <c r="C130">
        <v>990115852</v>
      </c>
      <c r="D130" s="3">
        <v>150000</v>
      </c>
      <c r="E130">
        <v>5</v>
      </c>
      <c r="F130" s="5">
        <v>45635</v>
      </c>
      <c r="G130" t="s">
        <v>8</v>
      </c>
      <c r="H130" t="s">
        <v>10</v>
      </c>
      <c r="I130" t="s">
        <v>27</v>
      </c>
      <c r="J130">
        <f t="shared" si="3"/>
        <v>750000</v>
      </c>
      <c r="K130">
        <f t="shared" si="4"/>
        <v>12</v>
      </c>
      <c r="L130">
        <f t="shared" si="5"/>
        <v>50</v>
      </c>
    </row>
    <row r="131" spans="1:12" x14ac:dyDescent="0.3">
      <c r="A131" t="s">
        <v>294</v>
      </c>
      <c r="B131" t="s">
        <v>295</v>
      </c>
      <c r="C131">
        <v>939742165</v>
      </c>
      <c r="D131" s="3">
        <v>8990000</v>
      </c>
      <c r="E131">
        <v>2</v>
      </c>
      <c r="F131" s="5">
        <v>45649</v>
      </c>
      <c r="G131" t="s">
        <v>7</v>
      </c>
      <c r="H131" t="s">
        <v>11</v>
      </c>
      <c r="I131" t="s">
        <v>34</v>
      </c>
      <c r="J131">
        <f t="shared" ref="J131:J194" si="6">E131*D131</f>
        <v>17980000</v>
      </c>
      <c r="K131">
        <f t="shared" ref="K131:K194" si="7">MONTH(F131)</f>
        <v>12</v>
      </c>
      <c r="L131">
        <f t="shared" ref="L131:L194" si="8">WEEKNUM(F131)</f>
        <v>52</v>
      </c>
    </row>
    <row r="132" spans="1:12" x14ac:dyDescent="0.3">
      <c r="A132" t="s">
        <v>296</v>
      </c>
      <c r="B132" t="s">
        <v>297</v>
      </c>
      <c r="C132">
        <v>994819556</v>
      </c>
      <c r="D132" s="3">
        <v>890000</v>
      </c>
      <c r="E132">
        <v>2</v>
      </c>
      <c r="F132" s="5">
        <v>45645</v>
      </c>
      <c r="G132" t="s">
        <v>6</v>
      </c>
      <c r="H132" t="s">
        <v>10</v>
      </c>
      <c r="I132" t="s">
        <v>35</v>
      </c>
      <c r="J132">
        <f t="shared" si="6"/>
        <v>1780000</v>
      </c>
      <c r="K132">
        <f t="shared" si="7"/>
        <v>12</v>
      </c>
      <c r="L132">
        <f t="shared" si="8"/>
        <v>51</v>
      </c>
    </row>
    <row r="133" spans="1:12" x14ac:dyDescent="0.3">
      <c r="A133" t="s">
        <v>298</v>
      </c>
      <c r="B133" t="s">
        <v>299</v>
      </c>
      <c r="C133">
        <v>935805259</v>
      </c>
      <c r="D133" s="3">
        <v>9990000</v>
      </c>
      <c r="E133">
        <v>2</v>
      </c>
      <c r="F133" s="5">
        <v>45635</v>
      </c>
      <c r="G133" t="s">
        <v>7</v>
      </c>
      <c r="H133" t="s">
        <v>9</v>
      </c>
      <c r="I133" t="s">
        <v>12</v>
      </c>
      <c r="J133">
        <f t="shared" si="6"/>
        <v>19980000</v>
      </c>
      <c r="K133">
        <f t="shared" si="7"/>
        <v>12</v>
      </c>
      <c r="L133">
        <f t="shared" si="8"/>
        <v>50</v>
      </c>
    </row>
    <row r="134" spans="1:12" x14ac:dyDescent="0.3">
      <c r="A134" t="s">
        <v>300</v>
      </c>
      <c r="B134" t="s">
        <v>301</v>
      </c>
      <c r="C134">
        <v>961700055</v>
      </c>
      <c r="D134" s="3">
        <v>280000</v>
      </c>
      <c r="E134">
        <v>1</v>
      </c>
      <c r="F134" s="5">
        <v>45633</v>
      </c>
      <c r="G134" t="s">
        <v>6</v>
      </c>
      <c r="H134" t="s">
        <v>10</v>
      </c>
      <c r="I134" t="s">
        <v>32</v>
      </c>
      <c r="J134">
        <f t="shared" si="6"/>
        <v>280000</v>
      </c>
      <c r="K134">
        <f t="shared" si="7"/>
        <v>12</v>
      </c>
      <c r="L134">
        <f t="shared" si="8"/>
        <v>49</v>
      </c>
    </row>
    <row r="135" spans="1:12" x14ac:dyDescent="0.3">
      <c r="A135" t="s">
        <v>302</v>
      </c>
      <c r="B135" t="s">
        <v>303</v>
      </c>
      <c r="C135">
        <v>925253751</v>
      </c>
      <c r="D135" s="3">
        <v>250000</v>
      </c>
      <c r="E135">
        <v>4</v>
      </c>
      <c r="F135" s="5">
        <v>45629</v>
      </c>
      <c r="G135" t="s">
        <v>8</v>
      </c>
      <c r="H135" t="s">
        <v>10</v>
      </c>
      <c r="I135" t="s">
        <v>33</v>
      </c>
      <c r="J135">
        <f t="shared" si="6"/>
        <v>1000000</v>
      </c>
      <c r="K135">
        <f t="shared" si="7"/>
        <v>12</v>
      </c>
      <c r="L135">
        <f t="shared" si="8"/>
        <v>49</v>
      </c>
    </row>
    <row r="136" spans="1:12" x14ac:dyDescent="0.3">
      <c r="A136" t="s">
        <v>304</v>
      </c>
      <c r="B136" t="s">
        <v>305</v>
      </c>
      <c r="C136">
        <v>916416148</v>
      </c>
      <c r="D136" s="3">
        <v>3990000</v>
      </c>
      <c r="E136">
        <v>1</v>
      </c>
      <c r="F136" s="5">
        <v>45637</v>
      </c>
      <c r="G136" t="s">
        <v>7</v>
      </c>
      <c r="H136" t="s">
        <v>10</v>
      </c>
      <c r="I136" t="s">
        <v>28</v>
      </c>
      <c r="J136">
        <f t="shared" si="6"/>
        <v>3990000</v>
      </c>
      <c r="K136">
        <f t="shared" si="7"/>
        <v>12</v>
      </c>
      <c r="L136">
        <f t="shared" si="8"/>
        <v>50</v>
      </c>
    </row>
    <row r="137" spans="1:12" x14ac:dyDescent="0.3">
      <c r="A137" t="s">
        <v>306</v>
      </c>
      <c r="B137" t="s">
        <v>307</v>
      </c>
      <c r="C137">
        <v>912944682</v>
      </c>
      <c r="D137" s="3">
        <v>2990000</v>
      </c>
      <c r="E137">
        <v>1</v>
      </c>
      <c r="F137" s="5">
        <v>45639</v>
      </c>
      <c r="G137" t="s">
        <v>6</v>
      </c>
      <c r="H137" t="s">
        <v>10</v>
      </c>
      <c r="I137" t="s">
        <v>24</v>
      </c>
      <c r="J137">
        <f t="shared" si="6"/>
        <v>2990000</v>
      </c>
      <c r="K137">
        <f t="shared" si="7"/>
        <v>12</v>
      </c>
      <c r="L137">
        <f t="shared" si="8"/>
        <v>50</v>
      </c>
    </row>
    <row r="138" spans="1:12" x14ac:dyDescent="0.3">
      <c r="A138" t="s">
        <v>308</v>
      </c>
      <c r="B138" t="s">
        <v>309</v>
      </c>
      <c r="C138">
        <v>952704903</v>
      </c>
      <c r="D138" s="3">
        <v>250000</v>
      </c>
      <c r="E138">
        <v>4</v>
      </c>
      <c r="F138" s="5">
        <v>45642</v>
      </c>
      <c r="G138" t="s">
        <v>6</v>
      </c>
      <c r="H138" t="s">
        <v>10</v>
      </c>
      <c r="I138" t="s">
        <v>33</v>
      </c>
      <c r="J138">
        <f t="shared" si="6"/>
        <v>1000000</v>
      </c>
      <c r="K138">
        <f t="shared" si="7"/>
        <v>12</v>
      </c>
      <c r="L138">
        <f t="shared" si="8"/>
        <v>51</v>
      </c>
    </row>
    <row r="139" spans="1:12" x14ac:dyDescent="0.3">
      <c r="A139" t="s">
        <v>310</v>
      </c>
      <c r="B139" t="s">
        <v>311</v>
      </c>
      <c r="C139">
        <v>943704923</v>
      </c>
      <c r="D139" s="3">
        <v>22990000</v>
      </c>
      <c r="E139">
        <v>2</v>
      </c>
      <c r="F139" s="5">
        <v>45629</v>
      </c>
      <c r="G139" t="s">
        <v>7</v>
      </c>
      <c r="H139" t="s">
        <v>9</v>
      </c>
      <c r="I139" t="s">
        <v>36</v>
      </c>
      <c r="J139">
        <f t="shared" si="6"/>
        <v>45980000</v>
      </c>
      <c r="K139">
        <f t="shared" si="7"/>
        <v>12</v>
      </c>
      <c r="L139">
        <f t="shared" si="8"/>
        <v>49</v>
      </c>
    </row>
    <row r="140" spans="1:12" x14ac:dyDescent="0.3">
      <c r="A140" t="s">
        <v>312</v>
      </c>
      <c r="B140" t="s">
        <v>313</v>
      </c>
      <c r="C140">
        <v>936738452</v>
      </c>
      <c r="D140" s="3">
        <v>8990000</v>
      </c>
      <c r="E140">
        <v>1</v>
      </c>
      <c r="F140" s="5">
        <v>45654</v>
      </c>
      <c r="G140" t="s">
        <v>7</v>
      </c>
      <c r="H140" t="s">
        <v>11</v>
      </c>
      <c r="I140" t="s">
        <v>34</v>
      </c>
      <c r="J140">
        <f t="shared" si="6"/>
        <v>8990000</v>
      </c>
      <c r="K140">
        <f t="shared" si="7"/>
        <v>12</v>
      </c>
      <c r="L140">
        <f t="shared" si="8"/>
        <v>52</v>
      </c>
    </row>
    <row r="141" spans="1:12" x14ac:dyDescent="0.3">
      <c r="A141" t="s">
        <v>314</v>
      </c>
      <c r="B141" t="s">
        <v>315</v>
      </c>
      <c r="C141">
        <v>924660143</v>
      </c>
      <c r="D141" s="3">
        <v>80000</v>
      </c>
      <c r="E141">
        <v>2</v>
      </c>
      <c r="F141" s="5">
        <v>45650</v>
      </c>
      <c r="G141" t="s">
        <v>6</v>
      </c>
      <c r="H141" t="s">
        <v>10</v>
      </c>
      <c r="I141" t="s">
        <v>16</v>
      </c>
      <c r="J141">
        <f t="shared" si="6"/>
        <v>160000</v>
      </c>
      <c r="K141">
        <f t="shared" si="7"/>
        <v>12</v>
      </c>
      <c r="L141">
        <f t="shared" si="8"/>
        <v>52</v>
      </c>
    </row>
    <row r="142" spans="1:12" x14ac:dyDescent="0.3">
      <c r="A142" t="s">
        <v>316</v>
      </c>
      <c r="B142" t="s">
        <v>317</v>
      </c>
      <c r="C142">
        <v>960237832</v>
      </c>
      <c r="D142" s="3">
        <v>25990000</v>
      </c>
      <c r="E142">
        <v>1</v>
      </c>
      <c r="F142" s="5">
        <v>45648</v>
      </c>
      <c r="G142" t="s">
        <v>8</v>
      </c>
      <c r="H142" t="s">
        <v>9</v>
      </c>
      <c r="I142" t="s">
        <v>26</v>
      </c>
      <c r="J142">
        <f t="shared" si="6"/>
        <v>25990000</v>
      </c>
      <c r="K142">
        <f t="shared" si="7"/>
        <v>12</v>
      </c>
      <c r="L142">
        <f t="shared" si="8"/>
        <v>52</v>
      </c>
    </row>
    <row r="143" spans="1:12" x14ac:dyDescent="0.3">
      <c r="A143" t="s">
        <v>318</v>
      </c>
      <c r="B143" t="s">
        <v>319</v>
      </c>
      <c r="C143">
        <v>929413516</v>
      </c>
      <c r="D143" s="3">
        <v>8990000</v>
      </c>
      <c r="E143">
        <v>1</v>
      </c>
      <c r="F143" s="5">
        <v>45633</v>
      </c>
      <c r="G143" t="s">
        <v>7</v>
      </c>
      <c r="H143" t="s">
        <v>11</v>
      </c>
      <c r="I143" t="s">
        <v>34</v>
      </c>
      <c r="J143">
        <f t="shared" si="6"/>
        <v>8990000</v>
      </c>
      <c r="K143">
        <f t="shared" si="7"/>
        <v>12</v>
      </c>
      <c r="L143">
        <f t="shared" si="8"/>
        <v>49</v>
      </c>
    </row>
    <row r="144" spans="1:12" x14ac:dyDescent="0.3">
      <c r="A144" t="s">
        <v>320</v>
      </c>
      <c r="B144" t="s">
        <v>321</v>
      </c>
      <c r="C144">
        <v>938876195</v>
      </c>
      <c r="D144" s="3">
        <v>280000</v>
      </c>
      <c r="E144">
        <v>1</v>
      </c>
      <c r="F144" s="5">
        <v>45638</v>
      </c>
      <c r="G144" t="s">
        <v>6</v>
      </c>
      <c r="H144" t="s">
        <v>10</v>
      </c>
      <c r="I144" t="s">
        <v>32</v>
      </c>
      <c r="J144">
        <f t="shared" si="6"/>
        <v>280000</v>
      </c>
      <c r="K144">
        <f t="shared" si="7"/>
        <v>12</v>
      </c>
      <c r="L144">
        <f t="shared" si="8"/>
        <v>50</v>
      </c>
    </row>
    <row r="145" spans="1:12" x14ac:dyDescent="0.3">
      <c r="A145" t="s">
        <v>322</v>
      </c>
      <c r="B145" t="s">
        <v>323</v>
      </c>
      <c r="C145">
        <v>971968116</v>
      </c>
      <c r="D145" s="3">
        <v>15990000</v>
      </c>
      <c r="E145">
        <v>2</v>
      </c>
      <c r="F145" s="5">
        <v>45628</v>
      </c>
      <c r="G145" t="s">
        <v>7</v>
      </c>
      <c r="H145" t="s">
        <v>9</v>
      </c>
      <c r="I145" t="s">
        <v>17</v>
      </c>
      <c r="J145">
        <f t="shared" si="6"/>
        <v>31980000</v>
      </c>
      <c r="K145">
        <f t="shared" si="7"/>
        <v>12</v>
      </c>
      <c r="L145">
        <f t="shared" si="8"/>
        <v>49</v>
      </c>
    </row>
    <row r="146" spans="1:12" x14ac:dyDescent="0.3">
      <c r="A146" t="s">
        <v>324</v>
      </c>
      <c r="B146" t="s">
        <v>325</v>
      </c>
      <c r="C146">
        <v>952462441</v>
      </c>
      <c r="D146" s="3">
        <v>6990000</v>
      </c>
      <c r="E146">
        <v>2</v>
      </c>
      <c r="F146" s="5">
        <v>45633</v>
      </c>
      <c r="G146" t="s">
        <v>8</v>
      </c>
      <c r="H146" t="s">
        <v>9</v>
      </c>
      <c r="I146" t="s">
        <v>30</v>
      </c>
      <c r="J146">
        <f t="shared" si="6"/>
        <v>13980000</v>
      </c>
      <c r="K146">
        <f t="shared" si="7"/>
        <v>12</v>
      </c>
      <c r="L146">
        <f t="shared" si="8"/>
        <v>49</v>
      </c>
    </row>
    <row r="147" spans="1:12" x14ac:dyDescent="0.3">
      <c r="A147" t="s">
        <v>326</v>
      </c>
      <c r="B147" t="s">
        <v>327</v>
      </c>
      <c r="C147">
        <v>915140967</v>
      </c>
      <c r="D147" s="3">
        <v>12500000</v>
      </c>
      <c r="E147">
        <v>1</v>
      </c>
      <c r="F147" s="5">
        <v>45656</v>
      </c>
      <c r="G147" t="s">
        <v>6</v>
      </c>
      <c r="H147" t="s">
        <v>11</v>
      </c>
      <c r="I147" t="s">
        <v>20</v>
      </c>
      <c r="J147">
        <f t="shared" si="6"/>
        <v>12500000</v>
      </c>
      <c r="K147">
        <f t="shared" si="7"/>
        <v>12</v>
      </c>
      <c r="L147">
        <f t="shared" si="8"/>
        <v>53</v>
      </c>
    </row>
    <row r="148" spans="1:12" x14ac:dyDescent="0.3">
      <c r="A148" t="s">
        <v>328</v>
      </c>
      <c r="B148" t="s">
        <v>329</v>
      </c>
      <c r="C148">
        <v>935504548</v>
      </c>
      <c r="D148" s="3">
        <v>250000</v>
      </c>
      <c r="E148">
        <v>4</v>
      </c>
      <c r="F148" s="5">
        <v>45630</v>
      </c>
      <c r="G148" t="s">
        <v>6</v>
      </c>
      <c r="H148" t="s">
        <v>10</v>
      </c>
      <c r="I148" t="s">
        <v>33</v>
      </c>
      <c r="J148">
        <f t="shared" si="6"/>
        <v>1000000</v>
      </c>
      <c r="K148">
        <f t="shared" si="7"/>
        <v>12</v>
      </c>
      <c r="L148">
        <f t="shared" si="8"/>
        <v>49</v>
      </c>
    </row>
    <row r="149" spans="1:12" x14ac:dyDescent="0.3">
      <c r="A149" t="s">
        <v>330</v>
      </c>
      <c r="B149" t="s">
        <v>331</v>
      </c>
      <c r="C149">
        <v>964953237</v>
      </c>
      <c r="D149" s="3">
        <v>280000</v>
      </c>
      <c r="E149">
        <v>3</v>
      </c>
      <c r="F149" s="5">
        <v>45363</v>
      </c>
      <c r="G149" t="s">
        <v>7</v>
      </c>
      <c r="H149" t="s">
        <v>10</v>
      </c>
      <c r="I149" t="s">
        <v>32</v>
      </c>
      <c r="J149">
        <f t="shared" si="6"/>
        <v>840000</v>
      </c>
      <c r="K149">
        <f t="shared" si="7"/>
        <v>3</v>
      </c>
      <c r="L149">
        <f t="shared" si="8"/>
        <v>11</v>
      </c>
    </row>
    <row r="150" spans="1:12" x14ac:dyDescent="0.3">
      <c r="A150" t="s">
        <v>332</v>
      </c>
      <c r="B150" t="s">
        <v>333</v>
      </c>
      <c r="C150">
        <v>954013571</v>
      </c>
      <c r="D150" s="3">
        <v>28990000</v>
      </c>
      <c r="E150">
        <v>1</v>
      </c>
      <c r="F150" s="5">
        <v>45639</v>
      </c>
      <c r="G150" t="s">
        <v>7</v>
      </c>
      <c r="H150" t="s">
        <v>9</v>
      </c>
      <c r="I150" t="s">
        <v>18</v>
      </c>
      <c r="J150">
        <f t="shared" si="6"/>
        <v>28990000</v>
      </c>
      <c r="K150">
        <f t="shared" si="7"/>
        <v>12</v>
      </c>
      <c r="L150">
        <f t="shared" si="8"/>
        <v>50</v>
      </c>
    </row>
    <row r="151" spans="1:12" x14ac:dyDescent="0.3">
      <c r="A151" t="s">
        <v>334</v>
      </c>
      <c r="B151" t="s">
        <v>335</v>
      </c>
      <c r="C151">
        <v>980361272</v>
      </c>
      <c r="D151" s="3">
        <v>3990000</v>
      </c>
      <c r="E151">
        <v>4</v>
      </c>
      <c r="F151" s="5">
        <v>45650</v>
      </c>
      <c r="G151" t="s">
        <v>8</v>
      </c>
      <c r="H151" t="s">
        <v>10</v>
      </c>
      <c r="I151" t="s">
        <v>28</v>
      </c>
      <c r="J151">
        <f t="shared" si="6"/>
        <v>15960000</v>
      </c>
      <c r="K151">
        <f t="shared" si="7"/>
        <v>12</v>
      </c>
      <c r="L151">
        <f t="shared" si="8"/>
        <v>52</v>
      </c>
    </row>
    <row r="152" spans="1:12" x14ac:dyDescent="0.3">
      <c r="A152" t="s">
        <v>336</v>
      </c>
      <c r="B152" t="s">
        <v>337</v>
      </c>
      <c r="C152">
        <v>964614193</v>
      </c>
      <c r="D152" s="3">
        <v>3990000</v>
      </c>
      <c r="E152">
        <v>4</v>
      </c>
      <c r="F152" s="5">
        <v>45656</v>
      </c>
      <c r="G152" t="s">
        <v>7</v>
      </c>
      <c r="H152" t="s">
        <v>10</v>
      </c>
      <c r="I152" t="s">
        <v>28</v>
      </c>
      <c r="J152">
        <f t="shared" si="6"/>
        <v>15960000</v>
      </c>
      <c r="K152">
        <f t="shared" si="7"/>
        <v>12</v>
      </c>
      <c r="L152">
        <f t="shared" si="8"/>
        <v>53</v>
      </c>
    </row>
    <row r="153" spans="1:12" x14ac:dyDescent="0.3">
      <c r="A153" t="s">
        <v>338</v>
      </c>
      <c r="B153" t="s">
        <v>339</v>
      </c>
      <c r="C153">
        <v>983832717</v>
      </c>
      <c r="D153" s="3">
        <v>22990000</v>
      </c>
      <c r="E153">
        <v>2</v>
      </c>
      <c r="F153" s="5">
        <v>45641</v>
      </c>
      <c r="G153" t="s">
        <v>7</v>
      </c>
      <c r="H153" t="s">
        <v>9</v>
      </c>
      <c r="I153" t="s">
        <v>36</v>
      </c>
      <c r="J153">
        <f t="shared" si="6"/>
        <v>45980000</v>
      </c>
      <c r="K153">
        <f t="shared" si="7"/>
        <v>12</v>
      </c>
      <c r="L153">
        <f t="shared" si="8"/>
        <v>51</v>
      </c>
    </row>
    <row r="154" spans="1:12" x14ac:dyDescent="0.3">
      <c r="A154" t="s">
        <v>340</v>
      </c>
      <c r="B154" t="s">
        <v>341</v>
      </c>
      <c r="C154">
        <v>919801857</v>
      </c>
      <c r="D154" s="3">
        <v>22990000</v>
      </c>
      <c r="E154">
        <v>1</v>
      </c>
      <c r="F154" s="5">
        <v>45640</v>
      </c>
      <c r="G154" t="s">
        <v>8</v>
      </c>
      <c r="H154" t="s">
        <v>9</v>
      </c>
      <c r="I154" t="s">
        <v>36</v>
      </c>
      <c r="J154">
        <f t="shared" si="6"/>
        <v>22990000</v>
      </c>
      <c r="K154">
        <f t="shared" si="7"/>
        <v>12</v>
      </c>
      <c r="L154">
        <f t="shared" si="8"/>
        <v>50</v>
      </c>
    </row>
    <row r="155" spans="1:12" x14ac:dyDescent="0.3">
      <c r="A155" t="s">
        <v>342</v>
      </c>
      <c r="B155" t="s">
        <v>343</v>
      </c>
      <c r="C155">
        <v>978131950</v>
      </c>
      <c r="D155" s="3">
        <v>450000</v>
      </c>
      <c r="E155">
        <v>4</v>
      </c>
      <c r="F155" s="5">
        <v>45627</v>
      </c>
      <c r="G155" t="s">
        <v>7</v>
      </c>
      <c r="H155" t="s">
        <v>10</v>
      </c>
      <c r="I155" t="s">
        <v>23</v>
      </c>
      <c r="J155">
        <f t="shared" si="6"/>
        <v>1800000</v>
      </c>
      <c r="K155">
        <f t="shared" si="7"/>
        <v>12</v>
      </c>
      <c r="L155">
        <f t="shared" si="8"/>
        <v>49</v>
      </c>
    </row>
    <row r="156" spans="1:12" x14ac:dyDescent="0.3">
      <c r="A156" t="s">
        <v>344</v>
      </c>
      <c r="B156" t="s">
        <v>345</v>
      </c>
      <c r="C156">
        <v>978093604</v>
      </c>
      <c r="D156" s="3">
        <v>28990000</v>
      </c>
      <c r="E156">
        <v>2</v>
      </c>
      <c r="F156" s="5">
        <v>45636</v>
      </c>
      <c r="G156" t="s">
        <v>7</v>
      </c>
      <c r="H156" t="s">
        <v>9</v>
      </c>
      <c r="I156" t="s">
        <v>18</v>
      </c>
      <c r="J156">
        <f t="shared" si="6"/>
        <v>57980000</v>
      </c>
      <c r="K156">
        <f t="shared" si="7"/>
        <v>12</v>
      </c>
      <c r="L156">
        <f t="shared" si="8"/>
        <v>50</v>
      </c>
    </row>
    <row r="157" spans="1:12" x14ac:dyDescent="0.3">
      <c r="A157" t="s">
        <v>346</v>
      </c>
      <c r="B157" t="s">
        <v>347</v>
      </c>
      <c r="C157">
        <v>912059919</v>
      </c>
      <c r="D157" s="3">
        <v>250000</v>
      </c>
      <c r="E157">
        <v>2</v>
      </c>
      <c r="F157" s="5">
        <v>45631</v>
      </c>
      <c r="G157" t="s">
        <v>7</v>
      </c>
      <c r="H157" t="s">
        <v>10</v>
      </c>
      <c r="I157" t="s">
        <v>33</v>
      </c>
      <c r="J157">
        <f t="shared" si="6"/>
        <v>500000</v>
      </c>
      <c r="K157">
        <f t="shared" si="7"/>
        <v>12</v>
      </c>
      <c r="L157">
        <f t="shared" si="8"/>
        <v>49</v>
      </c>
    </row>
    <row r="158" spans="1:12" x14ac:dyDescent="0.3">
      <c r="A158" t="s">
        <v>348</v>
      </c>
      <c r="B158" t="s">
        <v>349</v>
      </c>
      <c r="C158">
        <v>920939011</v>
      </c>
      <c r="D158" s="3">
        <v>280000</v>
      </c>
      <c r="E158">
        <v>3</v>
      </c>
      <c r="F158" s="5">
        <v>45648</v>
      </c>
      <c r="G158" t="s">
        <v>6</v>
      </c>
      <c r="H158" t="s">
        <v>10</v>
      </c>
      <c r="I158" t="s">
        <v>32</v>
      </c>
      <c r="J158">
        <f t="shared" si="6"/>
        <v>840000</v>
      </c>
      <c r="K158">
        <f t="shared" si="7"/>
        <v>12</v>
      </c>
      <c r="L158">
        <f t="shared" si="8"/>
        <v>52</v>
      </c>
    </row>
    <row r="159" spans="1:12" x14ac:dyDescent="0.3">
      <c r="A159" t="s">
        <v>350</v>
      </c>
      <c r="B159" t="s">
        <v>351</v>
      </c>
      <c r="C159">
        <v>996031876</v>
      </c>
      <c r="D159" s="3">
        <v>15990000</v>
      </c>
      <c r="E159">
        <v>1</v>
      </c>
      <c r="F159" s="5">
        <v>45645</v>
      </c>
      <c r="G159" t="s">
        <v>6</v>
      </c>
      <c r="H159" t="s">
        <v>9</v>
      </c>
      <c r="I159" t="s">
        <v>17</v>
      </c>
      <c r="J159">
        <f t="shared" si="6"/>
        <v>15990000</v>
      </c>
      <c r="K159">
        <f t="shared" si="7"/>
        <v>12</v>
      </c>
      <c r="L159">
        <f t="shared" si="8"/>
        <v>51</v>
      </c>
    </row>
    <row r="160" spans="1:12" x14ac:dyDescent="0.3">
      <c r="A160" t="s">
        <v>352</v>
      </c>
      <c r="B160" t="s">
        <v>353</v>
      </c>
      <c r="C160">
        <v>997488142</v>
      </c>
      <c r="D160" s="3">
        <v>18990000</v>
      </c>
      <c r="E160">
        <v>2</v>
      </c>
      <c r="F160" s="5">
        <v>45637</v>
      </c>
      <c r="G160" t="s">
        <v>8</v>
      </c>
      <c r="H160" t="s">
        <v>9</v>
      </c>
      <c r="I160" t="s">
        <v>14</v>
      </c>
      <c r="J160">
        <f t="shared" si="6"/>
        <v>37980000</v>
      </c>
      <c r="K160">
        <f t="shared" si="7"/>
        <v>12</v>
      </c>
      <c r="L160">
        <f t="shared" si="8"/>
        <v>50</v>
      </c>
    </row>
    <row r="161" spans="1:12" x14ac:dyDescent="0.3">
      <c r="A161" t="s">
        <v>354</v>
      </c>
      <c r="B161" t="s">
        <v>355</v>
      </c>
      <c r="C161">
        <v>925898299</v>
      </c>
      <c r="D161" s="3">
        <v>450000</v>
      </c>
      <c r="E161">
        <v>5</v>
      </c>
      <c r="F161" s="5">
        <v>45651</v>
      </c>
      <c r="G161" t="s">
        <v>8</v>
      </c>
      <c r="H161" t="s">
        <v>10</v>
      </c>
      <c r="I161" t="s">
        <v>23</v>
      </c>
      <c r="J161">
        <f t="shared" si="6"/>
        <v>2250000</v>
      </c>
      <c r="K161">
        <f t="shared" si="7"/>
        <v>12</v>
      </c>
      <c r="L161">
        <f t="shared" si="8"/>
        <v>52</v>
      </c>
    </row>
    <row r="162" spans="1:12" x14ac:dyDescent="0.3">
      <c r="A162" t="s">
        <v>356</v>
      </c>
      <c r="B162" t="s">
        <v>357</v>
      </c>
      <c r="C162">
        <v>952831009</v>
      </c>
      <c r="D162" s="3">
        <v>9990000</v>
      </c>
      <c r="E162">
        <v>2</v>
      </c>
      <c r="F162" s="5">
        <v>45641</v>
      </c>
      <c r="G162" t="s">
        <v>8</v>
      </c>
      <c r="H162" t="s">
        <v>9</v>
      </c>
      <c r="I162" t="s">
        <v>12</v>
      </c>
      <c r="J162">
        <f t="shared" si="6"/>
        <v>19980000</v>
      </c>
      <c r="K162">
        <f t="shared" si="7"/>
        <v>12</v>
      </c>
      <c r="L162">
        <f t="shared" si="8"/>
        <v>51</v>
      </c>
    </row>
    <row r="163" spans="1:12" x14ac:dyDescent="0.3">
      <c r="A163" t="s">
        <v>358</v>
      </c>
      <c r="B163" t="s">
        <v>359</v>
      </c>
      <c r="C163">
        <v>946677730</v>
      </c>
      <c r="D163" s="3">
        <v>5290000</v>
      </c>
      <c r="E163">
        <v>3</v>
      </c>
      <c r="F163" s="5">
        <v>45651</v>
      </c>
      <c r="G163" t="s">
        <v>8</v>
      </c>
      <c r="H163" t="s">
        <v>10</v>
      </c>
      <c r="I163" t="s">
        <v>29</v>
      </c>
      <c r="J163">
        <f t="shared" si="6"/>
        <v>15870000</v>
      </c>
      <c r="K163">
        <f t="shared" si="7"/>
        <v>12</v>
      </c>
      <c r="L163">
        <f t="shared" si="8"/>
        <v>52</v>
      </c>
    </row>
    <row r="164" spans="1:12" x14ac:dyDescent="0.3">
      <c r="A164" t="s">
        <v>360</v>
      </c>
      <c r="B164" t="s">
        <v>361</v>
      </c>
      <c r="C164">
        <v>992558242</v>
      </c>
      <c r="D164" s="3">
        <v>22990000</v>
      </c>
      <c r="E164">
        <v>2</v>
      </c>
      <c r="F164" s="5">
        <v>45650</v>
      </c>
      <c r="G164" t="s">
        <v>8</v>
      </c>
      <c r="H164" t="s">
        <v>9</v>
      </c>
      <c r="I164" t="s">
        <v>36</v>
      </c>
      <c r="J164">
        <f t="shared" si="6"/>
        <v>45980000</v>
      </c>
      <c r="K164">
        <f t="shared" si="7"/>
        <v>12</v>
      </c>
      <c r="L164">
        <f t="shared" si="8"/>
        <v>52</v>
      </c>
    </row>
    <row r="165" spans="1:12" x14ac:dyDescent="0.3">
      <c r="A165" t="s">
        <v>362</v>
      </c>
      <c r="B165" t="s">
        <v>363</v>
      </c>
      <c r="C165">
        <v>915512205</v>
      </c>
      <c r="D165" s="3">
        <v>9990000</v>
      </c>
      <c r="E165">
        <v>2</v>
      </c>
      <c r="F165" s="5">
        <v>45644</v>
      </c>
      <c r="G165" t="s">
        <v>7</v>
      </c>
      <c r="H165" t="s">
        <v>11</v>
      </c>
      <c r="I165" t="s">
        <v>25</v>
      </c>
      <c r="J165">
        <f t="shared" si="6"/>
        <v>19980000</v>
      </c>
      <c r="K165">
        <f t="shared" si="7"/>
        <v>12</v>
      </c>
      <c r="L165">
        <f t="shared" si="8"/>
        <v>51</v>
      </c>
    </row>
    <row r="166" spans="1:12" x14ac:dyDescent="0.3">
      <c r="A166" t="s">
        <v>364</v>
      </c>
      <c r="B166" t="s">
        <v>365</v>
      </c>
      <c r="C166">
        <v>914877451</v>
      </c>
      <c r="D166" s="3">
        <v>8990000</v>
      </c>
      <c r="E166">
        <v>1</v>
      </c>
      <c r="F166" s="5">
        <v>45652</v>
      </c>
      <c r="G166" t="s">
        <v>7</v>
      </c>
      <c r="H166" t="s">
        <v>11</v>
      </c>
      <c r="I166" t="s">
        <v>34</v>
      </c>
      <c r="J166">
        <f t="shared" si="6"/>
        <v>8990000</v>
      </c>
      <c r="K166">
        <f t="shared" si="7"/>
        <v>12</v>
      </c>
      <c r="L166">
        <f t="shared" si="8"/>
        <v>52</v>
      </c>
    </row>
    <row r="167" spans="1:12" x14ac:dyDescent="0.3">
      <c r="A167" t="s">
        <v>366</v>
      </c>
      <c r="B167" t="s">
        <v>367</v>
      </c>
      <c r="C167">
        <v>970887034</v>
      </c>
      <c r="D167" s="3">
        <v>9990000</v>
      </c>
      <c r="E167">
        <v>2</v>
      </c>
      <c r="F167" s="5">
        <v>45648</v>
      </c>
      <c r="G167" t="s">
        <v>8</v>
      </c>
      <c r="H167" t="s">
        <v>11</v>
      </c>
      <c r="I167" t="s">
        <v>25</v>
      </c>
      <c r="J167">
        <f t="shared" si="6"/>
        <v>19980000</v>
      </c>
      <c r="K167">
        <f t="shared" si="7"/>
        <v>12</v>
      </c>
      <c r="L167">
        <f t="shared" si="8"/>
        <v>52</v>
      </c>
    </row>
    <row r="168" spans="1:12" x14ac:dyDescent="0.3">
      <c r="A168" t="s">
        <v>368</v>
      </c>
      <c r="B168" t="s">
        <v>369</v>
      </c>
      <c r="C168">
        <v>950818905</v>
      </c>
      <c r="D168" s="3">
        <v>15990000</v>
      </c>
      <c r="E168">
        <v>1</v>
      </c>
      <c r="F168" s="5">
        <v>45632</v>
      </c>
      <c r="G168" t="s">
        <v>6</v>
      </c>
      <c r="H168" t="s">
        <v>9</v>
      </c>
      <c r="I168" t="s">
        <v>17</v>
      </c>
      <c r="J168">
        <f t="shared" si="6"/>
        <v>15990000</v>
      </c>
      <c r="K168">
        <f t="shared" si="7"/>
        <v>12</v>
      </c>
      <c r="L168">
        <f t="shared" si="8"/>
        <v>49</v>
      </c>
    </row>
    <row r="169" spans="1:12" x14ac:dyDescent="0.3">
      <c r="A169" t="s">
        <v>370</v>
      </c>
      <c r="B169" t="s">
        <v>371</v>
      </c>
      <c r="C169">
        <v>964830300</v>
      </c>
      <c r="D169" s="3">
        <v>350000</v>
      </c>
      <c r="E169">
        <v>4</v>
      </c>
      <c r="F169" s="5">
        <v>45649</v>
      </c>
      <c r="G169" t="s">
        <v>7</v>
      </c>
      <c r="H169" t="s">
        <v>10</v>
      </c>
      <c r="I169" t="s">
        <v>13</v>
      </c>
      <c r="J169">
        <f t="shared" si="6"/>
        <v>1400000</v>
      </c>
      <c r="K169">
        <f t="shared" si="7"/>
        <v>12</v>
      </c>
      <c r="L169">
        <f t="shared" si="8"/>
        <v>52</v>
      </c>
    </row>
    <row r="170" spans="1:12" x14ac:dyDescent="0.3">
      <c r="A170" t="s">
        <v>372</v>
      </c>
      <c r="B170" t="s">
        <v>373</v>
      </c>
      <c r="C170">
        <v>951708177</v>
      </c>
      <c r="D170" s="3">
        <v>450000</v>
      </c>
      <c r="E170">
        <v>4</v>
      </c>
      <c r="F170" s="5">
        <v>45627</v>
      </c>
      <c r="G170" t="s">
        <v>8</v>
      </c>
      <c r="H170" t="s">
        <v>10</v>
      </c>
      <c r="I170" t="s">
        <v>23</v>
      </c>
      <c r="J170">
        <f t="shared" si="6"/>
        <v>1800000</v>
      </c>
      <c r="K170">
        <f t="shared" si="7"/>
        <v>12</v>
      </c>
      <c r="L170">
        <f t="shared" si="8"/>
        <v>49</v>
      </c>
    </row>
    <row r="171" spans="1:12" x14ac:dyDescent="0.3">
      <c r="A171" t="s">
        <v>374</v>
      </c>
      <c r="B171" t="s">
        <v>375</v>
      </c>
      <c r="C171">
        <v>924363501</v>
      </c>
      <c r="D171" s="3">
        <v>18990000</v>
      </c>
      <c r="E171">
        <v>1</v>
      </c>
      <c r="F171" s="5">
        <v>45643</v>
      </c>
      <c r="G171" t="s">
        <v>7</v>
      </c>
      <c r="H171" t="s">
        <v>9</v>
      </c>
      <c r="I171" t="s">
        <v>15</v>
      </c>
      <c r="J171">
        <f t="shared" si="6"/>
        <v>18990000</v>
      </c>
      <c r="K171">
        <f t="shared" si="7"/>
        <v>12</v>
      </c>
      <c r="L171">
        <f t="shared" si="8"/>
        <v>51</v>
      </c>
    </row>
    <row r="172" spans="1:12" x14ac:dyDescent="0.3">
      <c r="A172" t="s">
        <v>376</v>
      </c>
      <c r="B172" t="s">
        <v>377</v>
      </c>
      <c r="C172">
        <v>931127115</v>
      </c>
      <c r="D172" s="3">
        <v>9990000</v>
      </c>
      <c r="E172">
        <v>2</v>
      </c>
      <c r="F172" s="5">
        <v>45636</v>
      </c>
      <c r="G172" t="s">
        <v>8</v>
      </c>
      <c r="H172" t="s">
        <v>11</v>
      </c>
      <c r="I172" t="s">
        <v>25</v>
      </c>
      <c r="J172">
        <f t="shared" si="6"/>
        <v>19980000</v>
      </c>
      <c r="K172">
        <f t="shared" si="7"/>
        <v>12</v>
      </c>
      <c r="L172">
        <f t="shared" si="8"/>
        <v>50</v>
      </c>
    </row>
    <row r="173" spans="1:12" x14ac:dyDescent="0.3">
      <c r="A173" t="s">
        <v>378</v>
      </c>
      <c r="B173" t="s">
        <v>379</v>
      </c>
      <c r="C173">
        <v>945594951</v>
      </c>
      <c r="D173" s="3">
        <v>350000</v>
      </c>
      <c r="E173">
        <v>5</v>
      </c>
      <c r="F173" s="5">
        <v>45636</v>
      </c>
      <c r="G173" t="s">
        <v>8</v>
      </c>
      <c r="H173" t="s">
        <v>10</v>
      </c>
      <c r="I173" t="s">
        <v>13</v>
      </c>
      <c r="J173">
        <f t="shared" si="6"/>
        <v>1750000</v>
      </c>
      <c r="K173">
        <f t="shared" si="7"/>
        <v>12</v>
      </c>
      <c r="L173">
        <f t="shared" si="8"/>
        <v>50</v>
      </c>
    </row>
    <row r="174" spans="1:12" x14ac:dyDescent="0.3">
      <c r="A174" t="s">
        <v>380</v>
      </c>
      <c r="B174" t="s">
        <v>381</v>
      </c>
      <c r="C174">
        <v>923798190</v>
      </c>
      <c r="D174" s="3">
        <v>25990000</v>
      </c>
      <c r="E174">
        <v>1</v>
      </c>
      <c r="F174" s="5">
        <v>45547</v>
      </c>
      <c r="G174" t="s">
        <v>6</v>
      </c>
      <c r="H174" t="s">
        <v>9</v>
      </c>
      <c r="I174" t="s">
        <v>26</v>
      </c>
      <c r="J174">
        <f t="shared" si="6"/>
        <v>25990000</v>
      </c>
      <c r="K174">
        <f t="shared" si="7"/>
        <v>9</v>
      </c>
      <c r="L174">
        <f t="shared" si="8"/>
        <v>37</v>
      </c>
    </row>
    <row r="175" spans="1:12" x14ac:dyDescent="0.3">
      <c r="A175" t="s">
        <v>382</v>
      </c>
      <c r="B175" t="s">
        <v>383</v>
      </c>
      <c r="C175">
        <v>942138745</v>
      </c>
      <c r="D175" s="3">
        <v>22990000</v>
      </c>
      <c r="E175">
        <v>1</v>
      </c>
      <c r="F175" s="5">
        <v>45634</v>
      </c>
      <c r="G175" t="s">
        <v>8</v>
      </c>
      <c r="H175" t="s">
        <v>9</v>
      </c>
      <c r="I175" t="s">
        <v>36</v>
      </c>
      <c r="J175">
        <f t="shared" si="6"/>
        <v>22990000</v>
      </c>
      <c r="K175">
        <f t="shared" si="7"/>
        <v>12</v>
      </c>
      <c r="L175">
        <f t="shared" si="8"/>
        <v>50</v>
      </c>
    </row>
    <row r="176" spans="1:12" x14ac:dyDescent="0.3">
      <c r="A176" t="s">
        <v>384</v>
      </c>
      <c r="B176" t="s">
        <v>385</v>
      </c>
      <c r="C176">
        <v>984098828</v>
      </c>
      <c r="D176" s="3">
        <v>18490000</v>
      </c>
      <c r="E176">
        <v>2</v>
      </c>
      <c r="F176" s="5">
        <v>45651</v>
      </c>
      <c r="G176" t="s">
        <v>7</v>
      </c>
      <c r="H176" t="s">
        <v>11</v>
      </c>
      <c r="I176" t="s">
        <v>19</v>
      </c>
      <c r="J176">
        <f t="shared" si="6"/>
        <v>36980000</v>
      </c>
      <c r="K176">
        <f t="shared" si="7"/>
        <v>12</v>
      </c>
      <c r="L176">
        <f t="shared" si="8"/>
        <v>52</v>
      </c>
    </row>
    <row r="177" spans="1:12" x14ac:dyDescent="0.3">
      <c r="A177" t="s">
        <v>386</v>
      </c>
      <c r="B177" t="s">
        <v>387</v>
      </c>
      <c r="C177">
        <v>962755436</v>
      </c>
      <c r="D177" s="3">
        <v>890000</v>
      </c>
      <c r="E177">
        <v>2</v>
      </c>
      <c r="F177" s="5">
        <v>45631</v>
      </c>
      <c r="G177" t="s">
        <v>7</v>
      </c>
      <c r="H177" t="s">
        <v>10</v>
      </c>
      <c r="I177" t="s">
        <v>35</v>
      </c>
      <c r="J177">
        <f t="shared" si="6"/>
        <v>1780000</v>
      </c>
      <c r="K177">
        <f t="shared" si="7"/>
        <v>12</v>
      </c>
      <c r="L177">
        <f t="shared" si="8"/>
        <v>49</v>
      </c>
    </row>
    <row r="178" spans="1:12" x14ac:dyDescent="0.3">
      <c r="A178" t="s">
        <v>388</v>
      </c>
      <c r="B178" t="s">
        <v>389</v>
      </c>
      <c r="C178">
        <v>978778646</v>
      </c>
      <c r="D178" s="3">
        <v>8900000</v>
      </c>
      <c r="E178">
        <v>1</v>
      </c>
      <c r="F178" s="5">
        <v>45394</v>
      </c>
      <c r="G178" t="s">
        <v>6</v>
      </c>
      <c r="H178" t="s">
        <v>11</v>
      </c>
      <c r="I178" t="s">
        <v>21</v>
      </c>
      <c r="J178">
        <f t="shared" si="6"/>
        <v>8900000</v>
      </c>
      <c r="K178">
        <f t="shared" si="7"/>
        <v>4</v>
      </c>
      <c r="L178">
        <f t="shared" si="8"/>
        <v>15</v>
      </c>
    </row>
    <row r="179" spans="1:12" x14ac:dyDescent="0.3">
      <c r="A179" t="s">
        <v>390</v>
      </c>
      <c r="B179" t="s">
        <v>391</v>
      </c>
      <c r="C179">
        <v>990882505</v>
      </c>
      <c r="D179" s="3">
        <v>5290000</v>
      </c>
      <c r="E179">
        <v>4</v>
      </c>
      <c r="F179" s="5">
        <v>45640</v>
      </c>
      <c r="G179" t="s">
        <v>6</v>
      </c>
      <c r="H179" t="s">
        <v>10</v>
      </c>
      <c r="I179" t="s">
        <v>29</v>
      </c>
      <c r="J179">
        <f t="shared" si="6"/>
        <v>21160000</v>
      </c>
      <c r="K179">
        <f t="shared" si="7"/>
        <v>12</v>
      </c>
      <c r="L179">
        <f t="shared" si="8"/>
        <v>50</v>
      </c>
    </row>
    <row r="180" spans="1:12" x14ac:dyDescent="0.3">
      <c r="A180" t="s">
        <v>392</v>
      </c>
      <c r="B180" t="s">
        <v>393</v>
      </c>
      <c r="C180">
        <v>926944487</v>
      </c>
      <c r="D180" s="3">
        <v>890000</v>
      </c>
      <c r="E180">
        <v>3</v>
      </c>
      <c r="F180" s="5">
        <v>45657</v>
      </c>
      <c r="G180" t="s">
        <v>7</v>
      </c>
      <c r="H180" t="s">
        <v>10</v>
      </c>
      <c r="I180" t="s">
        <v>35</v>
      </c>
      <c r="J180">
        <f t="shared" si="6"/>
        <v>2670000</v>
      </c>
      <c r="K180">
        <f t="shared" si="7"/>
        <v>12</v>
      </c>
      <c r="L180">
        <f t="shared" si="8"/>
        <v>53</v>
      </c>
    </row>
    <row r="181" spans="1:12" x14ac:dyDescent="0.3">
      <c r="A181" t="s">
        <v>394</v>
      </c>
      <c r="B181" t="s">
        <v>235</v>
      </c>
      <c r="C181">
        <v>959070856</v>
      </c>
      <c r="D181" s="3">
        <v>190000</v>
      </c>
      <c r="E181">
        <v>5</v>
      </c>
      <c r="F181" s="5">
        <v>45424</v>
      </c>
      <c r="G181" t="s">
        <v>8</v>
      </c>
      <c r="H181" t="s">
        <v>10</v>
      </c>
      <c r="I181" t="s">
        <v>22</v>
      </c>
      <c r="J181">
        <f t="shared" si="6"/>
        <v>950000</v>
      </c>
      <c r="K181">
        <f t="shared" si="7"/>
        <v>5</v>
      </c>
      <c r="L181">
        <f t="shared" si="8"/>
        <v>20</v>
      </c>
    </row>
    <row r="182" spans="1:12" x14ac:dyDescent="0.3">
      <c r="A182" t="s">
        <v>395</v>
      </c>
      <c r="B182" t="s">
        <v>396</v>
      </c>
      <c r="C182">
        <v>989736043</v>
      </c>
      <c r="D182" s="3">
        <v>890000</v>
      </c>
      <c r="E182">
        <v>5</v>
      </c>
      <c r="F182" s="5">
        <v>45639</v>
      </c>
      <c r="G182" t="s">
        <v>6</v>
      </c>
      <c r="H182" t="s">
        <v>10</v>
      </c>
      <c r="I182" t="s">
        <v>35</v>
      </c>
      <c r="J182">
        <f t="shared" si="6"/>
        <v>4450000</v>
      </c>
      <c r="K182">
        <f t="shared" si="7"/>
        <v>12</v>
      </c>
      <c r="L182">
        <f t="shared" si="8"/>
        <v>50</v>
      </c>
    </row>
    <row r="183" spans="1:12" x14ac:dyDescent="0.3">
      <c r="A183" t="s">
        <v>397</v>
      </c>
      <c r="B183" t="s">
        <v>398</v>
      </c>
      <c r="C183">
        <v>951738753</v>
      </c>
      <c r="D183" s="3">
        <v>5290000</v>
      </c>
      <c r="E183">
        <v>3</v>
      </c>
      <c r="F183" s="5">
        <v>45630</v>
      </c>
      <c r="G183" t="s">
        <v>8</v>
      </c>
      <c r="H183" t="s">
        <v>10</v>
      </c>
      <c r="I183" t="s">
        <v>29</v>
      </c>
      <c r="J183">
        <f t="shared" si="6"/>
        <v>15870000</v>
      </c>
      <c r="K183">
        <f t="shared" si="7"/>
        <v>12</v>
      </c>
      <c r="L183">
        <f t="shared" si="8"/>
        <v>49</v>
      </c>
    </row>
    <row r="184" spans="1:12" x14ac:dyDescent="0.3">
      <c r="A184" t="s">
        <v>399</v>
      </c>
      <c r="B184" t="s">
        <v>400</v>
      </c>
      <c r="C184">
        <v>945966597</v>
      </c>
      <c r="D184" s="3">
        <v>25990000</v>
      </c>
      <c r="E184">
        <v>1</v>
      </c>
      <c r="F184" s="5">
        <v>45639</v>
      </c>
      <c r="G184" t="s">
        <v>7</v>
      </c>
      <c r="H184" t="s">
        <v>9</v>
      </c>
      <c r="I184" t="s">
        <v>26</v>
      </c>
      <c r="J184">
        <f t="shared" si="6"/>
        <v>25990000</v>
      </c>
      <c r="K184">
        <f t="shared" si="7"/>
        <v>12</v>
      </c>
      <c r="L184">
        <f t="shared" si="8"/>
        <v>50</v>
      </c>
    </row>
    <row r="185" spans="1:12" x14ac:dyDescent="0.3">
      <c r="A185" t="s">
        <v>401</v>
      </c>
      <c r="B185" t="s">
        <v>402</v>
      </c>
      <c r="C185">
        <v>921370793</v>
      </c>
      <c r="D185" s="3">
        <v>12500000</v>
      </c>
      <c r="E185">
        <v>2</v>
      </c>
      <c r="F185" s="5">
        <v>45644</v>
      </c>
      <c r="G185" t="s">
        <v>6</v>
      </c>
      <c r="H185" t="s">
        <v>11</v>
      </c>
      <c r="I185" t="s">
        <v>20</v>
      </c>
      <c r="J185">
        <f t="shared" si="6"/>
        <v>25000000</v>
      </c>
      <c r="K185">
        <f t="shared" si="7"/>
        <v>12</v>
      </c>
      <c r="L185">
        <f t="shared" si="8"/>
        <v>51</v>
      </c>
    </row>
    <row r="186" spans="1:12" x14ac:dyDescent="0.3">
      <c r="A186" t="s">
        <v>403</v>
      </c>
      <c r="B186" t="s">
        <v>404</v>
      </c>
      <c r="C186">
        <v>940097200</v>
      </c>
      <c r="D186" s="3">
        <v>18990000</v>
      </c>
      <c r="E186">
        <v>1</v>
      </c>
      <c r="F186" s="5">
        <v>45485</v>
      </c>
      <c r="G186" t="s">
        <v>6</v>
      </c>
      <c r="H186" t="s">
        <v>9</v>
      </c>
      <c r="I186" t="s">
        <v>15</v>
      </c>
      <c r="J186">
        <f t="shared" si="6"/>
        <v>18990000</v>
      </c>
      <c r="K186">
        <f t="shared" si="7"/>
        <v>7</v>
      </c>
      <c r="L186">
        <f t="shared" si="8"/>
        <v>28</v>
      </c>
    </row>
    <row r="187" spans="1:12" x14ac:dyDescent="0.3">
      <c r="A187" t="s">
        <v>405</v>
      </c>
      <c r="B187" t="s">
        <v>406</v>
      </c>
      <c r="C187">
        <v>995225343</v>
      </c>
      <c r="D187" s="3">
        <v>15990000</v>
      </c>
      <c r="E187">
        <v>1</v>
      </c>
      <c r="F187" s="5">
        <v>45644</v>
      </c>
      <c r="G187" t="s">
        <v>7</v>
      </c>
      <c r="H187" t="s">
        <v>9</v>
      </c>
      <c r="I187" t="s">
        <v>17</v>
      </c>
      <c r="J187">
        <f t="shared" si="6"/>
        <v>15990000</v>
      </c>
      <c r="K187">
        <f t="shared" si="7"/>
        <v>12</v>
      </c>
      <c r="L187">
        <f t="shared" si="8"/>
        <v>51</v>
      </c>
    </row>
    <row r="188" spans="1:12" x14ac:dyDescent="0.3">
      <c r="A188" t="s">
        <v>407</v>
      </c>
      <c r="B188" t="s">
        <v>408</v>
      </c>
      <c r="C188">
        <v>997219599</v>
      </c>
      <c r="D188" s="3">
        <v>28990000</v>
      </c>
      <c r="E188">
        <v>2</v>
      </c>
      <c r="F188" s="5">
        <v>45654</v>
      </c>
      <c r="G188" t="s">
        <v>7</v>
      </c>
      <c r="H188" t="s">
        <v>9</v>
      </c>
      <c r="I188" t="s">
        <v>18</v>
      </c>
      <c r="J188">
        <f t="shared" si="6"/>
        <v>57980000</v>
      </c>
      <c r="K188">
        <f t="shared" si="7"/>
        <v>12</v>
      </c>
      <c r="L188">
        <f t="shared" si="8"/>
        <v>52</v>
      </c>
    </row>
    <row r="189" spans="1:12" x14ac:dyDescent="0.3">
      <c r="A189" t="s">
        <v>409</v>
      </c>
      <c r="B189" t="s">
        <v>410</v>
      </c>
      <c r="C189">
        <v>994322033</v>
      </c>
      <c r="D189" s="3">
        <v>18990000</v>
      </c>
      <c r="E189">
        <v>1</v>
      </c>
      <c r="F189" s="5">
        <v>45655</v>
      </c>
      <c r="G189" t="s">
        <v>8</v>
      </c>
      <c r="H189" t="s">
        <v>9</v>
      </c>
      <c r="I189" t="s">
        <v>15</v>
      </c>
      <c r="J189">
        <f t="shared" si="6"/>
        <v>18990000</v>
      </c>
      <c r="K189">
        <f t="shared" si="7"/>
        <v>12</v>
      </c>
      <c r="L189">
        <f t="shared" si="8"/>
        <v>53</v>
      </c>
    </row>
    <row r="190" spans="1:12" x14ac:dyDescent="0.3">
      <c r="A190" t="s">
        <v>411</v>
      </c>
      <c r="B190" t="s">
        <v>412</v>
      </c>
      <c r="C190">
        <v>944349528</v>
      </c>
      <c r="D190" s="3">
        <v>18990000</v>
      </c>
      <c r="E190">
        <v>2</v>
      </c>
      <c r="F190" s="5">
        <v>45653</v>
      </c>
      <c r="G190" t="s">
        <v>8</v>
      </c>
      <c r="H190" t="s">
        <v>9</v>
      </c>
      <c r="I190" t="s">
        <v>14</v>
      </c>
      <c r="J190">
        <f t="shared" si="6"/>
        <v>37980000</v>
      </c>
      <c r="K190">
        <f t="shared" si="7"/>
        <v>12</v>
      </c>
      <c r="L190">
        <f t="shared" si="8"/>
        <v>52</v>
      </c>
    </row>
    <row r="191" spans="1:12" x14ac:dyDescent="0.3">
      <c r="A191" t="s">
        <v>413</v>
      </c>
      <c r="B191" t="s">
        <v>414</v>
      </c>
      <c r="C191">
        <v>961254050</v>
      </c>
      <c r="D191" s="3">
        <v>890000</v>
      </c>
      <c r="E191">
        <v>2</v>
      </c>
      <c r="F191" s="5">
        <v>45643</v>
      </c>
      <c r="G191" t="s">
        <v>8</v>
      </c>
      <c r="H191" t="s">
        <v>10</v>
      </c>
      <c r="I191" t="s">
        <v>35</v>
      </c>
      <c r="J191">
        <f t="shared" si="6"/>
        <v>1780000</v>
      </c>
      <c r="K191">
        <f t="shared" si="7"/>
        <v>12</v>
      </c>
      <c r="L191">
        <f t="shared" si="8"/>
        <v>51</v>
      </c>
    </row>
    <row r="192" spans="1:12" x14ac:dyDescent="0.3">
      <c r="A192" t="s">
        <v>415</v>
      </c>
      <c r="B192" t="s">
        <v>189</v>
      </c>
      <c r="C192">
        <v>972654864</v>
      </c>
      <c r="D192" s="3">
        <v>150000</v>
      </c>
      <c r="E192">
        <v>4</v>
      </c>
      <c r="F192" s="5">
        <v>45655</v>
      </c>
      <c r="G192" t="s">
        <v>7</v>
      </c>
      <c r="H192" t="s">
        <v>10</v>
      </c>
      <c r="I192" t="s">
        <v>27</v>
      </c>
      <c r="J192">
        <f t="shared" si="6"/>
        <v>600000</v>
      </c>
      <c r="K192">
        <f t="shared" si="7"/>
        <v>12</v>
      </c>
      <c r="L192">
        <f t="shared" si="8"/>
        <v>53</v>
      </c>
    </row>
    <row r="193" spans="1:12" x14ac:dyDescent="0.3">
      <c r="A193" t="s">
        <v>416</v>
      </c>
      <c r="B193" t="s">
        <v>402</v>
      </c>
      <c r="C193">
        <v>986384014</v>
      </c>
      <c r="D193" s="3">
        <v>12500000</v>
      </c>
      <c r="E193">
        <v>1</v>
      </c>
      <c r="F193" s="5">
        <v>45639</v>
      </c>
      <c r="G193" t="s">
        <v>7</v>
      </c>
      <c r="H193" t="s">
        <v>11</v>
      </c>
      <c r="I193" t="s">
        <v>20</v>
      </c>
      <c r="J193">
        <f t="shared" si="6"/>
        <v>12500000</v>
      </c>
      <c r="K193">
        <f t="shared" si="7"/>
        <v>12</v>
      </c>
      <c r="L193">
        <f t="shared" si="8"/>
        <v>50</v>
      </c>
    </row>
    <row r="194" spans="1:12" x14ac:dyDescent="0.3">
      <c r="A194" t="s">
        <v>417</v>
      </c>
      <c r="B194" t="s">
        <v>418</v>
      </c>
      <c r="C194">
        <v>915864298</v>
      </c>
      <c r="D194" s="3">
        <v>8900000</v>
      </c>
      <c r="E194">
        <v>1</v>
      </c>
      <c r="F194" s="5">
        <v>45638</v>
      </c>
      <c r="G194" t="s">
        <v>6</v>
      </c>
      <c r="H194" t="s">
        <v>11</v>
      </c>
      <c r="I194" t="s">
        <v>21</v>
      </c>
      <c r="J194">
        <f t="shared" si="6"/>
        <v>8900000</v>
      </c>
      <c r="K194">
        <f t="shared" si="7"/>
        <v>12</v>
      </c>
      <c r="L194">
        <f t="shared" si="8"/>
        <v>50</v>
      </c>
    </row>
    <row r="195" spans="1:12" x14ac:dyDescent="0.3">
      <c r="A195" t="s">
        <v>419</v>
      </c>
      <c r="B195" t="s">
        <v>420</v>
      </c>
      <c r="C195">
        <v>932329103</v>
      </c>
      <c r="D195" s="3">
        <v>5290000</v>
      </c>
      <c r="E195">
        <v>1</v>
      </c>
      <c r="F195" s="5">
        <v>45577</v>
      </c>
      <c r="G195" t="s">
        <v>7</v>
      </c>
      <c r="H195" t="s">
        <v>10</v>
      </c>
      <c r="I195" t="s">
        <v>29</v>
      </c>
      <c r="J195">
        <f t="shared" ref="J195:J258" si="9">E195*D195</f>
        <v>5290000</v>
      </c>
      <c r="K195">
        <f t="shared" ref="K195:K258" si="10">MONTH(F195)</f>
        <v>10</v>
      </c>
      <c r="L195">
        <f t="shared" ref="L195:L258" si="11">WEEKNUM(F195)</f>
        <v>41</v>
      </c>
    </row>
    <row r="196" spans="1:12" x14ac:dyDescent="0.3">
      <c r="A196" t="s">
        <v>421</v>
      </c>
      <c r="B196" t="s">
        <v>422</v>
      </c>
      <c r="C196">
        <v>939600202</v>
      </c>
      <c r="D196" s="3">
        <v>150000</v>
      </c>
      <c r="E196">
        <v>4</v>
      </c>
      <c r="F196" s="5">
        <v>45634</v>
      </c>
      <c r="G196" t="s">
        <v>7</v>
      </c>
      <c r="H196" t="s">
        <v>10</v>
      </c>
      <c r="I196" t="s">
        <v>27</v>
      </c>
      <c r="J196">
        <f t="shared" si="9"/>
        <v>600000</v>
      </c>
      <c r="K196">
        <f t="shared" si="10"/>
        <v>12</v>
      </c>
      <c r="L196">
        <f t="shared" si="11"/>
        <v>50</v>
      </c>
    </row>
    <row r="197" spans="1:12" x14ac:dyDescent="0.3">
      <c r="A197" t="s">
        <v>423</v>
      </c>
      <c r="B197" t="s">
        <v>424</v>
      </c>
      <c r="C197">
        <v>992631441</v>
      </c>
      <c r="D197" s="3">
        <v>8900000</v>
      </c>
      <c r="E197">
        <v>1</v>
      </c>
      <c r="F197" s="5">
        <v>45657</v>
      </c>
      <c r="G197" t="s">
        <v>7</v>
      </c>
      <c r="H197" t="s">
        <v>11</v>
      </c>
      <c r="I197" t="s">
        <v>21</v>
      </c>
      <c r="J197">
        <f t="shared" si="9"/>
        <v>8900000</v>
      </c>
      <c r="K197">
        <f t="shared" si="10"/>
        <v>12</v>
      </c>
      <c r="L197">
        <f t="shared" si="11"/>
        <v>53</v>
      </c>
    </row>
    <row r="198" spans="1:12" x14ac:dyDescent="0.3">
      <c r="A198" t="s">
        <v>425</v>
      </c>
      <c r="B198" t="s">
        <v>426</v>
      </c>
      <c r="C198">
        <v>948412328</v>
      </c>
      <c r="D198" s="3">
        <v>190000</v>
      </c>
      <c r="E198">
        <v>5</v>
      </c>
      <c r="F198" s="5">
        <v>45652</v>
      </c>
      <c r="G198" t="s">
        <v>8</v>
      </c>
      <c r="H198" t="s">
        <v>10</v>
      </c>
      <c r="I198" t="s">
        <v>22</v>
      </c>
      <c r="J198">
        <f t="shared" si="9"/>
        <v>950000</v>
      </c>
      <c r="K198">
        <f t="shared" si="10"/>
        <v>12</v>
      </c>
      <c r="L198">
        <f t="shared" si="11"/>
        <v>52</v>
      </c>
    </row>
    <row r="199" spans="1:12" x14ac:dyDescent="0.3">
      <c r="A199" t="s">
        <v>427</v>
      </c>
      <c r="B199" t="s">
        <v>428</v>
      </c>
      <c r="C199">
        <v>971707170</v>
      </c>
      <c r="D199" s="3">
        <v>28990000</v>
      </c>
      <c r="E199">
        <v>2</v>
      </c>
      <c r="F199" s="5">
        <v>45654</v>
      </c>
      <c r="G199" t="s">
        <v>6</v>
      </c>
      <c r="H199" t="s">
        <v>9</v>
      </c>
      <c r="I199" t="s">
        <v>18</v>
      </c>
      <c r="J199">
        <f t="shared" si="9"/>
        <v>57980000</v>
      </c>
      <c r="K199">
        <f t="shared" si="10"/>
        <v>12</v>
      </c>
      <c r="L199">
        <f t="shared" si="11"/>
        <v>52</v>
      </c>
    </row>
    <row r="200" spans="1:12" x14ac:dyDescent="0.3">
      <c r="A200" t="s">
        <v>429</v>
      </c>
      <c r="B200" t="s">
        <v>430</v>
      </c>
      <c r="C200">
        <v>941329612</v>
      </c>
      <c r="D200" s="3">
        <v>6990000</v>
      </c>
      <c r="E200">
        <v>1</v>
      </c>
      <c r="F200" s="5">
        <v>45652</v>
      </c>
      <c r="G200" t="s">
        <v>8</v>
      </c>
      <c r="H200" t="s">
        <v>9</v>
      </c>
      <c r="I200" t="s">
        <v>30</v>
      </c>
      <c r="J200">
        <f t="shared" si="9"/>
        <v>6990000</v>
      </c>
      <c r="K200">
        <f t="shared" si="10"/>
        <v>12</v>
      </c>
      <c r="L200">
        <f t="shared" si="11"/>
        <v>52</v>
      </c>
    </row>
    <row r="201" spans="1:12" x14ac:dyDescent="0.3">
      <c r="A201" t="s">
        <v>431</v>
      </c>
      <c r="B201" t="s">
        <v>432</v>
      </c>
      <c r="C201">
        <v>924508349</v>
      </c>
      <c r="D201" s="3">
        <v>8990000</v>
      </c>
      <c r="E201">
        <v>2</v>
      </c>
      <c r="F201" s="5">
        <v>45654</v>
      </c>
      <c r="G201" t="s">
        <v>7</v>
      </c>
      <c r="H201" t="s">
        <v>11</v>
      </c>
      <c r="I201" t="s">
        <v>34</v>
      </c>
      <c r="J201">
        <f t="shared" si="9"/>
        <v>17980000</v>
      </c>
      <c r="K201">
        <f t="shared" si="10"/>
        <v>12</v>
      </c>
      <c r="L201">
        <f t="shared" si="11"/>
        <v>52</v>
      </c>
    </row>
    <row r="202" spans="1:12" x14ac:dyDescent="0.3">
      <c r="A202" t="s">
        <v>433</v>
      </c>
      <c r="B202" t="s">
        <v>434</v>
      </c>
      <c r="C202">
        <v>944295247</v>
      </c>
      <c r="D202" s="3">
        <v>12500000</v>
      </c>
      <c r="E202">
        <v>1</v>
      </c>
      <c r="F202" s="5">
        <v>45608</v>
      </c>
      <c r="G202" t="s">
        <v>8</v>
      </c>
      <c r="H202" t="s">
        <v>11</v>
      </c>
      <c r="I202" t="s">
        <v>20</v>
      </c>
      <c r="J202">
        <f t="shared" si="9"/>
        <v>12500000</v>
      </c>
      <c r="K202">
        <f t="shared" si="10"/>
        <v>11</v>
      </c>
      <c r="L202">
        <f t="shared" si="11"/>
        <v>46</v>
      </c>
    </row>
    <row r="203" spans="1:12" x14ac:dyDescent="0.3">
      <c r="A203" t="s">
        <v>435</v>
      </c>
      <c r="B203" t="s">
        <v>436</v>
      </c>
      <c r="C203">
        <v>984227466</v>
      </c>
      <c r="D203" s="3">
        <v>8990000</v>
      </c>
      <c r="E203">
        <v>2</v>
      </c>
      <c r="F203" s="5">
        <v>45640</v>
      </c>
      <c r="G203" t="s">
        <v>7</v>
      </c>
      <c r="H203" t="s">
        <v>11</v>
      </c>
      <c r="I203" t="s">
        <v>34</v>
      </c>
      <c r="J203">
        <f t="shared" si="9"/>
        <v>17980000</v>
      </c>
      <c r="K203">
        <f t="shared" si="10"/>
        <v>12</v>
      </c>
      <c r="L203">
        <f t="shared" si="11"/>
        <v>50</v>
      </c>
    </row>
    <row r="204" spans="1:12" x14ac:dyDescent="0.3">
      <c r="A204" t="s">
        <v>437</v>
      </c>
      <c r="B204" t="s">
        <v>438</v>
      </c>
      <c r="C204">
        <v>966581473</v>
      </c>
      <c r="D204" s="3">
        <v>6990000</v>
      </c>
      <c r="E204">
        <v>2</v>
      </c>
      <c r="F204" s="5">
        <v>45653</v>
      </c>
      <c r="G204" t="s">
        <v>8</v>
      </c>
      <c r="H204" t="s">
        <v>9</v>
      </c>
      <c r="I204" t="s">
        <v>30</v>
      </c>
      <c r="J204">
        <f t="shared" si="9"/>
        <v>13980000</v>
      </c>
      <c r="K204">
        <f t="shared" si="10"/>
        <v>12</v>
      </c>
      <c r="L204">
        <f t="shared" si="11"/>
        <v>52</v>
      </c>
    </row>
    <row r="205" spans="1:12" x14ac:dyDescent="0.3">
      <c r="A205" t="s">
        <v>439</v>
      </c>
      <c r="B205" t="s">
        <v>440</v>
      </c>
      <c r="C205">
        <v>984040798</v>
      </c>
      <c r="D205" s="3">
        <v>25990000</v>
      </c>
      <c r="E205">
        <v>1</v>
      </c>
      <c r="F205" s="5">
        <v>45646</v>
      </c>
      <c r="G205" t="s">
        <v>6</v>
      </c>
      <c r="H205" t="s">
        <v>9</v>
      </c>
      <c r="I205" t="s">
        <v>26</v>
      </c>
      <c r="J205">
        <f t="shared" si="9"/>
        <v>25990000</v>
      </c>
      <c r="K205">
        <f t="shared" si="10"/>
        <v>12</v>
      </c>
      <c r="L205">
        <f t="shared" si="11"/>
        <v>51</v>
      </c>
    </row>
    <row r="206" spans="1:12" x14ac:dyDescent="0.3">
      <c r="A206" t="s">
        <v>441</v>
      </c>
      <c r="B206" t="s">
        <v>442</v>
      </c>
      <c r="C206">
        <v>963643924</v>
      </c>
      <c r="D206" s="3">
        <v>2990000</v>
      </c>
      <c r="E206">
        <v>3</v>
      </c>
      <c r="F206" s="5">
        <v>45653</v>
      </c>
      <c r="G206" t="s">
        <v>7</v>
      </c>
      <c r="H206" t="s">
        <v>10</v>
      </c>
      <c r="I206" t="s">
        <v>24</v>
      </c>
      <c r="J206">
        <f t="shared" si="9"/>
        <v>8970000</v>
      </c>
      <c r="K206">
        <f t="shared" si="10"/>
        <v>12</v>
      </c>
      <c r="L206">
        <f t="shared" si="11"/>
        <v>52</v>
      </c>
    </row>
    <row r="207" spans="1:12" x14ac:dyDescent="0.3">
      <c r="A207" t="s">
        <v>443</v>
      </c>
      <c r="B207" t="s">
        <v>444</v>
      </c>
      <c r="C207">
        <v>966519399</v>
      </c>
      <c r="D207" s="3">
        <v>12500000</v>
      </c>
      <c r="E207">
        <v>2</v>
      </c>
      <c r="F207" s="5">
        <v>45642</v>
      </c>
      <c r="G207" t="s">
        <v>6</v>
      </c>
      <c r="H207" t="s">
        <v>11</v>
      </c>
      <c r="I207" t="s">
        <v>20</v>
      </c>
      <c r="J207">
        <f t="shared" si="9"/>
        <v>25000000</v>
      </c>
      <c r="K207">
        <f t="shared" si="10"/>
        <v>12</v>
      </c>
      <c r="L207">
        <f t="shared" si="11"/>
        <v>51</v>
      </c>
    </row>
    <row r="208" spans="1:12" x14ac:dyDescent="0.3">
      <c r="A208" t="s">
        <v>445</v>
      </c>
      <c r="B208" t="s">
        <v>446</v>
      </c>
      <c r="C208">
        <v>919067690</v>
      </c>
      <c r="D208" s="3">
        <v>9990000</v>
      </c>
      <c r="E208">
        <v>1</v>
      </c>
      <c r="F208" s="5">
        <v>45634</v>
      </c>
      <c r="G208" t="s">
        <v>7</v>
      </c>
      <c r="H208" t="s">
        <v>11</v>
      </c>
      <c r="I208" t="s">
        <v>25</v>
      </c>
      <c r="J208">
        <f t="shared" si="9"/>
        <v>9990000</v>
      </c>
      <c r="K208">
        <f t="shared" si="10"/>
        <v>12</v>
      </c>
      <c r="L208">
        <f t="shared" si="11"/>
        <v>50</v>
      </c>
    </row>
    <row r="209" spans="1:12" x14ac:dyDescent="0.3">
      <c r="A209" t="s">
        <v>447</v>
      </c>
      <c r="B209" t="s">
        <v>448</v>
      </c>
      <c r="C209">
        <v>917849494</v>
      </c>
      <c r="D209" s="3">
        <v>280000</v>
      </c>
      <c r="E209">
        <v>1</v>
      </c>
      <c r="F209" s="5">
        <v>45650</v>
      </c>
      <c r="G209" t="s">
        <v>8</v>
      </c>
      <c r="H209" t="s">
        <v>10</v>
      </c>
      <c r="I209" t="s">
        <v>32</v>
      </c>
      <c r="J209">
        <f t="shared" si="9"/>
        <v>280000</v>
      </c>
      <c r="K209">
        <f t="shared" si="10"/>
        <v>12</v>
      </c>
      <c r="L209">
        <f t="shared" si="11"/>
        <v>52</v>
      </c>
    </row>
    <row r="210" spans="1:12" x14ac:dyDescent="0.3">
      <c r="A210" t="s">
        <v>449</v>
      </c>
      <c r="B210" t="s">
        <v>450</v>
      </c>
      <c r="C210">
        <v>929776801</v>
      </c>
      <c r="D210" s="3">
        <v>8900000</v>
      </c>
      <c r="E210">
        <v>2</v>
      </c>
      <c r="F210" s="5">
        <v>45363</v>
      </c>
      <c r="G210" t="s">
        <v>7</v>
      </c>
      <c r="H210" t="s">
        <v>11</v>
      </c>
      <c r="I210" t="s">
        <v>21</v>
      </c>
      <c r="J210">
        <f t="shared" si="9"/>
        <v>17800000</v>
      </c>
      <c r="K210">
        <f t="shared" si="10"/>
        <v>3</v>
      </c>
      <c r="L210">
        <f t="shared" si="11"/>
        <v>11</v>
      </c>
    </row>
    <row r="211" spans="1:12" x14ac:dyDescent="0.3">
      <c r="A211" t="s">
        <v>451</v>
      </c>
      <c r="B211" t="s">
        <v>452</v>
      </c>
      <c r="C211">
        <v>916533225</v>
      </c>
      <c r="D211" s="3">
        <v>9990000</v>
      </c>
      <c r="E211">
        <v>2</v>
      </c>
      <c r="F211" s="5">
        <v>45650</v>
      </c>
      <c r="G211" t="s">
        <v>8</v>
      </c>
      <c r="H211" t="s">
        <v>9</v>
      </c>
      <c r="I211" t="s">
        <v>12</v>
      </c>
      <c r="J211">
        <f t="shared" si="9"/>
        <v>19980000</v>
      </c>
      <c r="K211">
        <f t="shared" si="10"/>
        <v>12</v>
      </c>
      <c r="L211">
        <f t="shared" si="11"/>
        <v>52</v>
      </c>
    </row>
    <row r="212" spans="1:12" x14ac:dyDescent="0.3">
      <c r="A212" t="s">
        <v>453</v>
      </c>
      <c r="B212" t="s">
        <v>454</v>
      </c>
      <c r="C212">
        <v>956323191</v>
      </c>
      <c r="D212" s="3">
        <v>190000</v>
      </c>
      <c r="E212">
        <v>3</v>
      </c>
      <c r="F212" s="5">
        <v>45652</v>
      </c>
      <c r="G212" t="s">
        <v>6</v>
      </c>
      <c r="H212" t="s">
        <v>10</v>
      </c>
      <c r="I212" t="s">
        <v>22</v>
      </c>
      <c r="J212">
        <f t="shared" si="9"/>
        <v>570000</v>
      </c>
      <c r="K212">
        <f t="shared" si="10"/>
        <v>12</v>
      </c>
      <c r="L212">
        <f t="shared" si="11"/>
        <v>52</v>
      </c>
    </row>
    <row r="213" spans="1:12" x14ac:dyDescent="0.3">
      <c r="A213" t="s">
        <v>455</v>
      </c>
      <c r="B213" t="s">
        <v>456</v>
      </c>
      <c r="C213">
        <v>951374957</v>
      </c>
      <c r="D213" s="3">
        <v>350000</v>
      </c>
      <c r="E213">
        <v>1</v>
      </c>
      <c r="F213" s="5">
        <v>45638</v>
      </c>
      <c r="G213" t="s">
        <v>7</v>
      </c>
      <c r="H213" t="s">
        <v>10</v>
      </c>
      <c r="I213" t="s">
        <v>13</v>
      </c>
      <c r="J213">
        <f t="shared" si="9"/>
        <v>350000</v>
      </c>
      <c r="K213">
        <f t="shared" si="10"/>
        <v>12</v>
      </c>
      <c r="L213">
        <f t="shared" si="11"/>
        <v>50</v>
      </c>
    </row>
    <row r="214" spans="1:12" x14ac:dyDescent="0.3">
      <c r="A214" t="s">
        <v>457</v>
      </c>
      <c r="B214" t="s">
        <v>458</v>
      </c>
      <c r="C214">
        <v>919768947</v>
      </c>
      <c r="D214" s="3">
        <v>18990000</v>
      </c>
      <c r="E214">
        <v>1</v>
      </c>
      <c r="F214" s="5">
        <v>45652</v>
      </c>
      <c r="G214" t="s">
        <v>7</v>
      </c>
      <c r="H214" t="s">
        <v>9</v>
      </c>
      <c r="I214" t="s">
        <v>14</v>
      </c>
      <c r="J214">
        <f t="shared" si="9"/>
        <v>18990000</v>
      </c>
      <c r="K214">
        <f t="shared" si="10"/>
        <v>12</v>
      </c>
      <c r="L214">
        <f t="shared" si="11"/>
        <v>52</v>
      </c>
    </row>
    <row r="215" spans="1:12" x14ac:dyDescent="0.3">
      <c r="A215" t="s">
        <v>459</v>
      </c>
      <c r="B215" t="s">
        <v>460</v>
      </c>
      <c r="C215">
        <v>954699966</v>
      </c>
      <c r="D215" s="3">
        <v>150000</v>
      </c>
      <c r="E215">
        <v>2</v>
      </c>
      <c r="F215" s="5">
        <v>45643</v>
      </c>
      <c r="G215" t="s">
        <v>8</v>
      </c>
      <c r="H215" t="s">
        <v>10</v>
      </c>
      <c r="I215" t="s">
        <v>27</v>
      </c>
      <c r="J215">
        <f t="shared" si="9"/>
        <v>300000</v>
      </c>
      <c r="K215">
        <f t="shared" si="10"/>
        <v>12</v>
      </c>
      <c r="L215">
        <f t="shared" si="11"/>
        <v>51</v>
      </c>
    </row>
    <row r="216" spans="1:12" x14ac:dyDescent="0.3">
      <c r="A216" t="s">
        <v>461</v>
      </c>
      <c r="B216" t="s">
        <v>462</v>
      </c>
      <c r="C216">
        <v>990099897</v>
      </c>
      <c r="D216" s="3">
        <v>12500000</v>
      </c>
      <c r="E216">
        <v>2</v>
      </c>
      <c r="F216" s="5">
        <v>45394</v>
      </c>
      <c r="G216" t="s">
        <v>7</v>
      </c>
      <c r="H216" t="s">
        <v>11</v>
      </c>
      <c r="I216" t="s">
        <v>20</v>
      </c>
      <c r="J216">
        <f t="shared" si="9"/>
        <v>25000000</v>
      </c>
      <c r="K216">
        <f t="shared" si="10"/>
        <v>4</v>
      </c>
      <c r="L216">
        <f t="shared" si="11"/>
        <v>15</v>
      </c>
    </row>
    <row r="217" spans="1:12" x14ac:dyDescent="0.3">
      <c r="A217" t="s">
        <v>463</v>
      </c>
      <c r="B217" t="s">
        <v>464</v>
      </c>
      <c r="C217">
        <v>998550256</v>
      </c>
      <c r="D217" s="3">
        <v>150000</v>
      </c>
      <c r="E217">
        <v>2</v>
      </c>
      <c r="F217" s="5">
        <v>45657</v>
      </c>
      <c r="G217" t="s">
        <v>6</v>
      </c>
      <c r="H217" t="s">
        <v>10</v>
      </c>
      <c r="I217" t="s">
        <v>27</v>
      </c>
      <c r="J217">
        <f t="shared" si="9"/>
        <v>300000</v>
      </c>
      <c r="K217">
        <f t="shared" si="10"/>
        <v>12</v>
      </c>
      <c r="L217">
        <f t="shared" si="11"/>
        <v>53</v>
      </c>
    </row>
    <row r="218" spans="1:12" x14ac:dyDescent="0.3">
      <c r="A218" t="s">
        <v>465</v>
      </c>
      <c r="B218" t="s">
        <v>466</v>
      </c>
      <c r="C218">
        <v>969421007</v>
      </c>
      <c r="D218" s="3">
        <v>12500000</v>
      </c>
      <c r="E218">
        <v>2</v>
      </c>
      <c r="F218" s="5">
        <v>45654</v>
      </c>
      <c r="G218" t="s">
        <v>8</v>
      </c>
      <c r="H218" t="s">
        <v>11</v>
      </c>
      <c r="I218" t="s">
        <v>20</v>
      </c>
      <c r="J218">
        <f t="shared" si="9"/>
        <v>25000000</v>
      </c>
      <c r="K218">
        <f t="shared" si="10"/>
        <v>12</v>
      </c>
      <c r="L218">
        <f t="shared" si="11"/>
        <v>52</v>
      </c>
    </row>
    <row r="219" spans="1:12" x14ac:dyDescent="0.3">
      <c r="A219" t="s">
        <v>467</v>
      </c>
      <c r="B219" t="s">
        <v>468</v>
      </c>
      <c r="C219">
        <v>973280554</v>
      </c>
      <c r="D219" s="3">
        <v>12500000</v>
      </c>
      <c r="E219">
        <v>2</v>
      </c>
      <c r="F219" s="5">
        <v>45646</v>
      </c>
      <c r="G219" t="s">
        <v>8</v>
      </c>
      <c r="H219" t="s">
        <v>9</v>
      </c>
      <c r="I219" t="s">
        <v>31</v>
      </c>
      <c r="J219">
        <f t="shared" si="9"/>
        <v>25000000</v>
      </c>
      <c r="K219">
        <f t="shared" si="10"/>
        <v>12</v>
      </c>
      <c r="L219">
        <f t="shared" si="11"/>
        <v>51</v>
      </c>
    </row>
    <row r="220" spans="1:12" x14ac:dyDescent="0.3">
      <c r="A220" t="s">
        <v>469</v>
      </c>
      <c r="B220" t="s">
        <v>470</v>
      </c>
      <c r="C220">
        <v>935074182</v>
      </c>
      <c r="D220" s="3">
        <v>150000</v>
      </c>
      <c r="E220">
        <v>3</v>
      </c>
      <c r="F220" s="5">
        <v>45649</v>
      </c>
      <c r="G220" t="s">
        <v>8</v>
      </c>
      <c r="H220" t="s">
        <v>10</v>
      </c>
      <c r="I220" t="s">
        <v>27</v>
      </c>
      <c r="J220">
        <f t="shared" si="9"/>
        <v>450000</v>
      </c>
      <c r="K220">
        <f t="shared" si="10"/>
        <v>12</v>
      </c>
      <c r="L220">
        <f t="shared" si="11"/>
        <v>52</v>
      </c>
    </row>
    <row r="221" spans="1:12" x14ac:dyDescent="0.3">
      <c r="A221" t="s">
        <v>471</v>
      </c>
      <c r="B221" t="s">
        <v>472</v>
      </c>
      <c r="C221">
        <v>946578001</v>
      </c>
      <c r="D221" s="3">
        <v>15990000</v>
      </c>
      <c r="E221">
        <v>2</v>
      </c>
      <c r="F221" s="5">
        <v>45635</v>
      </c>
      <c r="G221" t="s">
        <v>8</v>
      </c>
      <c r="H221" t="s">
        <v>9</v>
      </c>
      <c r="I221" t="s">
        <v>17</v>
      </c>
      <c r="J221">
        <f t="shared" si="9"/>
        <v>31980000</v>
      </c>
      <c r="K221">
        <f t="shared" si="10"/>
        <v>12</v>
      </c>
      <c r="L221">
        <f t="shared" si="11"/>
        <v>50</v>
      </c>
    </row>
    <row r="222" spans="1:12" x14ac:dyDescent="0.3">
      <c r="A222" t="s">
        <v>473</v>
      </c>
      <c r="B222" t="s">
        <v>474</v>
      </c>
      <c r="C222">
        <v>943528453</v>
      </c>
      <c r="D222" s="3">
        <v>28990000</v>
      </c>
      <c r="E222">
        <v>1</v>
      </c>
      <c r="F222" s="5">
        <v>45641</v>
      </c>
      <c r="G222" t="s">
        <v>6</v>
      </c>
      <c r="H222" t="s">
        <v>9</v>
      </c>
      <c r="I222" t="s">
        <v>18</v>
      </c>
      <c r="J222">
        <f t="shared" si="9"/>
        <v>28990000</v>
      </c>
      <c r="K222">
        <f t="shared" si="10"/>
        <v>12</v>
      </c>
      <c r="L222">
        <f t="shared" si="11"/>
        <v>51</v>
      </c>
    </row>
    <row r="223" spans="1:12" x14ac:dyDescent="0.3">
      <c r="A223" t="s">
        <v>475</v>
      </c>
      <c r="B223" t="s">
        <v>476</v>
      </c>
      <c r="C223">
        <v>919208698</v>
      </c>
      <c r="D223" s="3">
        <v>190000</v>
      </c>
      <c r="E223">
        <v>5</v>
      </c>
      <c r="F223" s="5">
        <v>45644</v>
      </c>
      <c r="G223" t="s">
        <v>8</v>
      </c>
      <c r="H223" t="s">
        <v>10</v>
      </c>
      <c r="I223" t="s">
        <v>22</v>
      </c>
      <c r="J223">
        <f t="shared" si="9"/>
        <v>950000</v>
      </c>
      <c r="K223">
        <f t="shared" si="10"/>
        <v>12</v>
      </c>
      <c r="L223">
        <f t="shared" si="11"/>
        <v>51</v>
      </c>
    </row>
    <row r="224" spans="1:12" x14ac:dyDescent="0.3">
      <c r="A224" t="s">
        <v>477</v>
      </c>
      <c r="B224" t="s">
        <v>478</v>
      </c>
      <c r="C224">
        <v>929228089</v>
      </c>
      <c r="D224" s="3">
        <v>2990000</v>
      </c>
      <c r="E224">
        <v>4</v>
      </c>
      <c r="F224" s="5">
        <v>45643</v>
      </c>
      <c r="G224" t="s">
        <v>6</v>
      </c>
      <c r="H224" t="s">
        <v>10</v>
      </c>
      <c r="I224" t="s">
        <v>24</v>
      </c>
      <c r="J224">
        <f t="shared" si="9"/>
        <v>11960000</v>
      </c>
      <c r="K224">
        <f t="shared" si="10"/>
        <v>12</v>
      </c>
      <c r="L224">
        <f t="shared" si="11"/>
        <v>51</v>
      </c>
    </row>
    <row r="225" spans="1:12" x14ac:dyDescent="0.3">
      <c r="A225" t="s">
        <v>479</v>
      </c>
      <c r="B225" t="s">
        <v>480</v>
      </c>
      <c r="C225">
        <v>924524825</v>
      </c>
      <c r="D225" s="3">
        <v>9990000</v>
      </c>
      <c r="E225">
        <v>2</v>
      </c>
      <c r="F225" s="5">
        <v>45654</v>
      </c>
      <c r="G225" t="s">
        <v>6</v>
      </c>
      <c r="H225" t="s">
        <v>11</v>
      </c>
      <c r="I225" t="s">
        <v>25</v>
      </c>
      <c r="J225">
        <f t="shared" si="9"/>
        <v>19980000</v>
      </c>
      <c r="K225">
        <f t="shared" si="10"/>
        <v>12</v>
      </c>
      <c r="L225">
        <f t="shared" si="11"/>
        <v>52</v>
      </c>
    </row>
    <row r="226" spans="1:12" x14ac:dyDescent="0.3">
      <c r="A226" t="s">
        <v>481</v>
      </c>
      <c r="B226" t="s">
        <v>482</v>
      </c>
      <c r="C226">
        <v>939372360</v>
      </c>
      <c r="D226" s="3">
        <v>15990000</v>
      </c>
      <c r="E226">
        <v>2</v>
      </c>
      <c r="F226" s="5">
        <v>45652</v>
      </c>
      <c r="G226" t="s">
        <v>8</v>
      </c>
      <c r="H226" t="s">
        <v>9</v>
      </c>
      <c r="I226" t="s">
        <v>17</v>
      </c>
      <c r="J226">
        <f t="shared" si="9"/>
        <v>31980000</v>
      </c>
      <c r="K226">
        <f t="shared" si="10"/>
        <v>12</v>
      </c>
      <c r="L226">
        <f t="shared" si="11"/>
        <v>52</v>
      </c>
    </row>
    <row r="227" spans="1:12" x14ac:dyDescent="0.3">
      <c r="A227" t="s">
        <v>483</v>
      </c>
      <c r="B227" t="s">
        <v>484</v>
      </c>
      <c r="C227">
        <v>997742922</v>
      </c>
      <c r="D227" s="3">
        <v>3990000</v>
      </c>
      <c r="E227">
        <v>1</v>
      </c>
      <c r="F227" s="5">
        <v>45651</v>
      </c>
      <c r="G227" t="s">
        <v>6</v>
      </c>
      <c r="H227" t="s">
        <v>10</v>
      </c>
      <c r="I227" t="s">
        <v>28</v>
      </c>
      <c r="J227">
        <f t="shared" si="9"/>
        <v>3990000</v>
      </c>
      <c r="K227">
        <f t="shared" si="10"/>
        <v>12</v>
      </c>
      <c r="L227">
        <f t="shared" si="11"/>
        <v>52</v>
      </c>
    </row>
    <row r="228" spans="1:12" x14ac:dyDescent="0.3">
      <c r="A228" t="s">
        <v>485</v>
      </c>
      <c r="B228" t="s">
        <v>486</v>
      </c>
      <c r="C228">
        <v>925659979</v>
      </c>
      <c r="D228" s="3">
        <v>25990000</v>
      </c>
      <c r="E228">
        <v>2</v>
      </c>
      <c r="F228" s="5">
        <v>45334</v>
      </c>
      <c r="G228" t="s">
        <v>8</v>
      </c>
      <c r="H228" t="s">
        <v>9</v>
      </c>
      <c r="I228" t="s">
        <v>26</v>
      </c>
      <c r="J228">
        <f t="shared" si="9"/>
        <v>51980000</v>
      </c>
      <c r="K228">
        <f t="shared" si="10"/>
        <v>2</v>
      </c>
      <c r="L228">
        <f t="shared" si="11"/>
        <v>7</v>
      </c>
    </row>
    <row r="229" spans="1:12" x14ac:dyDescent="0.3">
      <c r="A229" t="s">
        <v>487</v>
      </c>
      <c r="B229" t="s">
        <v>488</v>
      </c>
      <c r="C229">
        <v>913471527</v>
      </c>
      <c r="D229" s="3">
        <v>28990000</v>
      </c>
      <c r="E229">
        <v>1</v>
      </c>
      <c r="F229" s="5">
        <v>45634</v>
      </c>
      <c r="G229" t="s">
        <v>6</v>
      </c>
      <c r="H229" t="s">
        <v>9</v>
      </c>
      <c r="I229" t="s">
        <v>18</v>
      </c>
      <c r="J229">
        <f t="shared" si="9"/>
        <v>28990000</v>
      </c>
      <c r="K229">
        <f t="shared" si="10"/>
        <v>12</v>
      </c>
      <c r="L229">
        <f t="shared" si="11"/>
        <v>50</v>
      </c>
    </row>
    <row r="230" spans="1:12" x14ac:dyDescent="0.3">
      <c r="A230" t="s">
        <v>489</v>
      </c>
      <c r="B230" t="s">
        <v>490</v>
      </c>
      <c r="C230">
        <v>918770247</v>
      </c>
      <c r="D230" s="3">
        <v>8990000</v>
      </c>
      <c r="E230">
        <v>1</v>
      </c>
      <c r="F230" s="5">
        <v>45642</v>
      </c>
      <c r="G230" t="s">
        <v>6</v>
      </c>
      <c r="H230" t="s">
        <v>11</v>
      </c>
      <c r="I230" t="s">
        <v>34</v>
      </c>
      <c r="J230">
        <f t="shared" si="9"/>
        <v>8990000</v>
      </c>
      <c r="K230">
        <f t="shared" si="10"/>
        <v>12</v>
      </c>
      <c r="L230">
        <f t="shared" si="11"/>
        <v>51</v>
      </c>
    </row>
    <row r="231" spans="1:12" x14ac:dyDescent="0.3">
      <c r="A231" t="s">
        <v>491</v>
      </c>
      <c r="B231" t="s">
        <v>492</v>
      </c>
      <c r="C231">
        <v>964807553</v>
      </c>
      <c r="D231" s="3">
        <v>18490000</v>
      </c>
      <c r="E231">
        <v>1</v>
      </c>
      <c r="F231" s="5">
        <v>45637</v>
      </c>
      <c r="G231" t="s">
        <v>6</v>
      </c>
      <c r="H231" t="s">
        <v>11</v>
      </c>
      <c r="I231" t="s">
        <v>19</v>
      </c>
      <c r="J231">
        <f t="shared" si="9"/>
        <v>18490000</v>
      </c>
      <c r="K231">
        <f t="shared" si="10"/>
        <v>12</v>
      </c>
      <c r="L231">
        <f t="shared" si="11"/>
        <v>50</v>
      </c>
    </row>
    <row r="232" spans="1:12" x14ac:dyDescent="0.3">
      <c r="A232" t="s">
        <v>493</v>
      </c>
      <c r="B232" t="s">
        <v>494</v>
      </c>
      <c r="C232">
        <v>969302158</v>
      </c>
      <c r="D232" s="3">
        <v>450000</v>
      </c>
      <c r="E232">
        <v>5</v>
      </c>
      <c r="F232" s="5">
        <v>45649</v>
      </c>
      <c r="G232" t="s">
        <v>6</v>
      </c>
      <c r="H232" t="s">
        <v>10</v>
      </c>
      <c r="I232" t="s">
        <v>23</v>
      </c>
      <c r="J232">
        <f t="shared" si="9"/>
        <v>2250000</v>
      </c>
      <c r="K232">
        <f t="shared" si="10"/>
        <v>12</v>
      </c>
      <c r="L232">
        <f t="shared" si="11"/>
        <v>52</v>
      </c>
    </row>
    <row r="233" spans="1:12" x14ac:dyDescent="0.3">
      <c r="A233" t="s">
        <v>495</v>
      </c>
      <c r="B233" t="s">
        <v>496</v>
      </c>
      <c r="C233">
        <v>926460116</v>
      </c>
      <c r="D233" s="3">
        <v>25990000</v>
      </c>
      <c r="E233">
        <v>2</v>
      </c>
      <c r="F233" s="5">
        <v>45654</v>
      </c>
      <c r="G233" t="s">
        <v>7</v>
      </c>
      <c r="H233" t="s">
        <v>9</v>
      </c>
      <c r="I233" t="s">
        <v>26</v>
      </c>
      <c r="J233">
        <f t="shared" si="9"/>
        <v>51980000</v>
      </c>
      <c r="K233">
        <f t="shared" si="10"/>
        <v>12</v>
      </c>
      <c r="L233">
        <f t="shared" si="11"/>
        <v>52</v>
      </c>
    </row>
    <row r="234" spans="1:12" x14ac:dyDescent="0.3">
      <c r="A234" t="s">
        <v>497</v>
      </c>
      <c r="B234" t="s">
        <v>498</v>
      </c>
      <c r="C234">
        <v>981394920</v>
      </c>
      <c r="D234" s="3">
        <v>8990000</v>
      </c>
      <c r="E234">
        <v>1</v>
      </c>
      <c r="F234" s="5">
        <v>45653</v>
      </c>
      <c r="G234" t="s">
        <v>7</v>
      </c>
      <c r="H234" t="s">
        <v>11</v>
      </c>
      <c r="I234" t="s">
        <v>34</v>
      </c>
      <c r="J234">
        <f t="shared" si="9"/>
        <v>8990000</v>
      </c>
      <c r="K234">
        <f t="shared" si="10"/>
        <v>12</v>
      </c>
      <c r="L234">
        <f t="shared" si="11"/>
        <v>52</v>
      </c>
    </row>
    <row r="235" spans="1:12" x14ac:dyDescent="0.3">
      <c r="A235" t="s">
        <v>499</v>
      </c>
      <c r="B235" t="s">
        <v>500</v>
      </c>
      <c r="C235">
        <v>935606639</v>
      </c>
      <c r="D235" s="3">
        <v>12500000</v>
      </c>
      <c r="E235">
        <v>2</v>
      </c>
      <c r="F235" s="5">
        <v>45641</v>
      </c>
      <c r="G235" t="s">
        <v>8</v>
      </c>
      <c r="H235" t="s">
        <v>9</v>
      </c>
      <c r="I235" t="s">
        <v>31</v>
      </c>
      <c r="J235">
        <f t="shared" si="9"/>
        <v>25000000</v>
      </c>
      <c r="K235">
        <f t="shared" si="10"/>
        <v>12</v>
      </c>
      <c r="L235">
        <f t="shared" si="11"/>
        <v>51</v>
      </c>
    </row>
    <row r="236" spans="1:12" x14ac:dyDescent="0.3">
      <c r="A236" t="s">
        <v>501</v>
      </c>
      <c r="B236" t="s">
        <v>502</v>
      </c>
      <c r="C236">
        <v>987337818</v>
      </c>
      <c r="D236" s="3">
        <v>150000</v>
      </c>
      <c r="E236">
        <v>4</v>
      </c>
      <c r="F236" s="5">
        <v>45634</v>
      </c>
      <c r="G236" t="s">
        <v>6</v>
      </c>
      <c r="H236" t="s">
        <v>10</v>
      </c>
      <c r="I236" t="s">
        <v>27</v>
      </c>
      <c r="J236">
        <f t="shared" si="9"/>
        <v>600000</v>
      </c>
      <c r="K236">
        <f t="shared" si="10"/>
        <v>12</v>
      </c>
      <c r="L236">
        <f t="shared" si="11"/>
        <v>50</v>
      </c>
    </row>
    <row r="237" spans="1:12" x14ac:dyDescent="0.3">
      <c r="A237" t="s">
        <v>503</v>
      </c>
      <c r="B237" t="s">
        <v>504</v>
      </c>
      <c r="C237">
        <v>960527631</v>
      </c>
      <c r="D237" s="3">
        <v>15990000</v>
      </c>
      <c r="E237">
        <v>2</v>
      </c>
      <c r="F237" s="5">
        <v>45651</v>
      </c>
      <c r="G237" t="s">
        <v>7</v>
      </c>
      <c r="H237" t="s">
        <v>9</v>
      </c>
      <c r="I237" t="s">
        <v>17</v>
      </c>
      <c r="J237">
        <f t="shared" si="9"/>
        <v>31980000</v>
      </c>
      <c r="K237">
        <f t="shared" si="10"/>
        <v>12</v>
      </c>
      <c r="L237">
        <f t="shared" si="11"/>
        <v>52</v>
      </c>
    </row>
    <row r="238" spans="1:12" x14ac:dyDescent="0.3">
      <c r="A238" t="s">
        <v>505</v>
      </c>
      <c r="B238" t="s">
        <v>506</v>
      </c>
      <c r="C238">
        <v>917749299</v>
      </c>
      <c r="D238" s="3">
        <v>450000</v>
      </c>
      <c r="E238">
        <v>3</v>
      </c>
      <c r="F238" s="5">
        <v>45641</v>
      </c>
      <c r="G238" t="s">
        <v>7</v>
      </c>
      <c r="H238" t="s">
        <v>10</v>
      </c>
      <c r="I238" t="s">
        <v>23</v>
      </c>
      <c r="J238">
        <f t="shared" si="9"/>
        <v>1350000</v>
      </c>
      <c r="K238">
        <f t="shared" si="10"/>
        <v>12</v>
      </c>
      <c r="L238">
        <f t="shared" si="11"/>
        <v>51</v>
      </c>
    </row>
    <row r="239" spans="1:12" x14ac:dyDescent="0.3">
      <c r="A239" t="s">
        <v>507</v>
      </c>
      <c r="B239" t="s">
        <v>508</v>
      </c>
      <c r="C239">
        <v>983363160</v>
      </c>
      <c r="D239" s="3">
        <v>15990000</v>
      </c>
      <c r="E239">
        <v>2</v>
      </c>
      <c r="F239" s="5">
        <v>45629</v>
      </c>
      <c r="G239" t="s">
        <v>7</v>
      </c>
      <c r="H239" t="s">
        <v>9</v>
      </c>
      <c r="I239" t="s">
        <v>17</v>
      </c>
      <c r="J239">
        <f t="shared" si="9"/>
        <v>31980000</v>
      </c>
      <c r="K239">
        <f t="shared" si="10"/>
        <v>12</v>
      </c>
      <c r="L239">
        <f t="shared" si="11"/>
        <v>49</v>
      </c>
    </row>
    <row r="240" spans="1:12" x14ac:dyDescent="0.3">
      <c r="A240" t="s">
        <v>509</v>
      </c>
      <c r="B240" t="s">
        <v>510</v>
      </c>
      <c r="C240">
        <v>935848226</v>
      </c>
      <c r="D240" s="3">
        <v>18490000</v>
      </c>
      <c r="E240">
        <v>1</v>
      </c>
      <c r="F240" s="5">
        <v>45630</v>
      </c>
      <c r="G240" t="s">
        <v>7</v>
      </c>
      <c r="H240" t="s">
        <v>11</v>
      </c>
      <c r="I240" t="s">
        <v>19</v>
      </c>
      <c r="J240">
        <f t="shared" si="9"/>
        <v>18490000</v>
      </c>
      <c r="K240">
        <f t="shared" si="10"/>
        <v>12</v>
      </c>
      <c r="L240">
        <f t="shared" si="11"/>
        <v>49</v>
      </c>
    </row>
    <row r="241" spans="1:12" x14ac:dyDescent="0.3">
      <c r="A241" t="s">
        <v>511</v>
      </c>
      <c r="B241" t="s">
        <v>512</v>
      </c>
      <c r="C241">
        <v>999600766</v>
      </c>
      <c r="D241" s="3">
        <v>890000</v>
      </c>
      <c r="E241">
        <v>3</v>
      </c>
      <c r="F241" s="5">
        <v>45644</v>
      </c>
      <c r="G241" t="s">
        <v>6</v>
      </c>
      <c r="H241" t="s">
        <v>10</v>
      </c>
      <c r="I241" t="s">
        <v>35</v>
      </c>
      <c r="J241">
        <f t="shared" si="9"/>
        <v>2670000</v>
      </c>
      <c r="K241">
        <f t="shared" si="10"/>
        <v>12</v>
      </c>
      <c r="L241">
        <f t="shared" si="11"/>
        <v>51</v>
      </c>
    </row>
    <row r="242" spans="1:12" x14ac:dyDescent="0.3">
      <c r="A242" t="s">
        <v>513</v>
      </c>
      <c r="B242" t="s">
        <v>393</v>
      </c>
      <c r="C242">
        <v>985482164</v>
      </c>
      <c r="D242" s="3">
        <v>8900000</v>
      </c>
      <c r="E242">
        <v>1</v>
      </c>
      <c r="F242" s="5">
        <v>45657</v>
      </c>
      <c r="G242" t="s">
        <v>8</v>
      </c>
      <c r="H242" t="s">
        <v>11</v>
      </c>
      <c r="I242" t="s">
        <v>21</v>
      </c>
      <c r="J242">
        <f t="shared" si="9"/>
        <v>8900000</v>
      </c>
      <c r="K242">
        <f t="shared" si="10"/>
        <v>12</v>
      </c>
      <c r="L242">
        <f t="shared" si="11"/>
        <v>53</v>
      </c>
    </row>
    <row r="243" spans="1:12" x14ac:dyDescent="0.3">
      <c r="A243" t="s">
        <v>514</v>
      </c>
      <c r="B243" t="s">
        <v>515</v>
      </c>
      <c r="C243">
        <v>972820592</v>
      </c>
      <c r="D243" s="3">
        <v>890000</v>
      </c>
      <c r="E243">
        <v>1</v>
      </c>
      <c r="F243" s="5">
        <v>45635</v>
      </c>
      <c r="G243" t="s">
        <v>6</v>
      </c>
      <c r="H243" t="s">
        <v>10</v>
      </c>
      <c r="I243" t="s">
        <v>35</v>
      </c>
      <c r="J243">
        <f t="shared" si="9"/>
        <v>890000</v>
      </c>
      <c r="K243">
        <f t="shared" si="10"/>
        <v>12</v>
      </c>
      <c r="L243">
        <f t="shared" si="11"/>
        <v>50</v>
      </c>
    </row>
    <row r="244" spans="1:12" x14ac:dyDescent="0.3">
      <c r="A244" t="s">
        <v>516</v>
      </c>
      <c r="B244" t="s">
        <v>517</v>
      </c>
      <c r="C244">
        <v>979173614</v>
      </c>
      <c r="D244" s="3">
        <v>8990000</v>
      </c>
      <c r="E244">
        <v>2</v>
      </c>
      <c r="F244" s="5">
        <v>45653</v>
      </c>
      <c r="G244" t="s">
        <v>6</v>
      </c>
      <c r="H244" t="s">
        <v>11</v>
      </c>
      <c r="I244" t="s">
        <v>34</v>
      </c>
      <c r="J244">
        <f t="shared" si="9"/>
        <v>17980000</v>
      </c>
      <c r="K244">
        <f t="shared" si="10"/>
        <v>12</v>
      </c>
      <c r="L244">
        <f t="shared" si="11"/>
        <v>52</v>
      </c>
    </row>
    <row r="245" spans="1:12" x14ac:dyDescent="0.3">
      <c r="A245" t="s">
        <v>518</v>
      </c>
      <c r="B245" t="s">
        <v>519</v>
      </c>
      <c r="C245">
        <v>946817443</v>
      </c>
      <c r="D245" s="3">
        <v>22990000</v>
      </c>
      <c r="E245">
        <v>2</v>
      </c>
      <c r="F245" s="5">
        <v>45628</v>
      </c>
      <c r="G245" t="s">
        <v>6</v>
      </c>
      <c r="H245" t="s">
        <v>9</v>
      </c>
      <c r="I245" t="s">
        <v>36</v>
      </c>
      <c r="J245">
        <f t="shared" si="9"/>
        <v>45980000</v>
      </c>
      <c r="K245">
        <f t="shared" si="10"/>
        <v>12</v>
      </c>
      <c r="L245">
        <f t="shared" si="11"/>
        <v>49</v>
      </c>
    </row>
    <row r="246" spans="1:12" x14ac:dyDescent="0.3">
      <c r="A246" t="s">
        <v>520</v>
      </c>
      <c r="B246" t="s">
        <v>521</v>
      </c>
      <c r="C246">
        <v>975540707</v>
      </c>
      <c r="D246" s="3">
        <v>15990000</v>
      </c>
      <c r="E246">
        <v>1</v>
      </c>
      <c r="F246" s="5">
        <v>45656</v>
      </c>
      <c r="G246" t="s">
        <v>8</v>
      </c>
      <c r="H246" t="s">
        <v>9</v>
      </c>
      <c r="I246" t="s">
        <v>17</v>
      </c>
      <c r="J246">
        <f t="shared" si="9"/>
        <v>15990000</v>
      </c>
      <c r="K246">
        <f t="shared" si="10"/>
        <v>12</v>
      </c>
      <c r="L246">
        <f t="shared" si="11"/>
        <v>53</v>
      </c>
    </row>
    <row r="247" spans="1:12" x14ac:dyDescent="0.3">
      <c r="A247" t="s">
        <v>522</v>
      </c>
      <c r="B247" t="s">
        <v>523</v>
      </c>
      <c r="C247">
        <v>964877191</v>
      </c>
      <c r="D247" s="3">
        <v>15990000</v>
      </c>
      <c r="E247">
        <v>2</v>
      </c>
      <c r="F247" s="5">
        <v>45651</v>
      </c>
      <c r="G247" t="s">
        <v>7</v>
      </c>
      <c r="H247" t="s">
        <v>9</v>
      </c>
      <c r="I247" t="s">
        <v>17</v>
      </c>
      <c r="J247">
        <f t="shared" si="9"/>
        <v>31980000</v>
      </c>
      <c r="K247">
        <f t="shared" si="10"/>
        <v>12</v>
      </c>
      <c r="L247">
        <f t="shared" si="11"/>
        <v>52</v>
      </c>
    </row>
    <row r="248" spans="1:12" x14ac:dyDescent="0.3">
      <c r="A248" t="s">
        <v>524</v>
      </c>
      <c r="B248" t="s">
        <v>525</v>
      </c>
      <c r="C248">
        <v>992594562</v>
      </c>
      <c r="D248" s="3">
        <v>8900000</v>
      </c>
      <c r="E248">
        <v>2</v>
      </c>
      <c r="F248" s="5">
        <v>45516</v>
      </c>
      <c r="G248" t="s">
        <v>8</v>
      </c>
      <c r="H248" t="s">
        <v>11</v>
      </c>
      <c r="I248" t="s">
        <v>21</v>
      </c>
      <c r="J248">
        <f t="shared" si="9"/>
        <v>17800000</v>
      </c>
      <c r="K248">
        <f t="shared" si="10"/>
        <v>8</v>
      </c>
      <c r="L248">
        <f t="shared" si="11"/>
        <v>33</v>
      </c>
    </row>
    <row r="249" spans="1:12" x14ac:dyDescent="0.3">
      <c r="A249" t="s">
        <v>526</v>
      </c>
      <c r="B249" t="s">
        <v>527</v>
      </c>
      <c r="C249">
        <v>983994695</v>
      </c>
      <c r="D249" s="3">
        <v>3990000</v>
      </c>
      <c r="E249">
        <v>2</v>
      </c>
      <c r="F249" s="5">
        <v>45645</v>
      </c>
      <c r="G249" t="s">
        <v>8</v>
      </c>
      <c r="H249" t="s">
        <v>10</v>
      </c>
      <c r="I249" t="s">
        <v>28</v>
      </c>
      <c r="J249">
        <f t="shared" si="9"/>
        <v>7980000</v>
      </c>
      <c r="K249">
        <f t="shared" si="10"/>
        <v>12</v>
      </c>
      <c r="L249">
        <f t="shared" si="11"/>
        <v>51</v>
      </c>
    </row>
    <row r="250" spans="1:12" x14ac:dyDescent="0.3">
      <c r="A250" t="s">
        <v>528</v>
      </c>
      <c r="B250" t="s">
        <v>529</v>
      </c>
      <c r="C250">
        <v>945002007</v>
      </c>
      <c r="D250" s="3">
        <v>8990000</v>
      </c>
      <c r="E250">
        <v>2</v>
      </c>
      <c r="F250" s="5">
        <v>45634</v>
      </c>
      <c r="G250" t="s">
        <v>6</v>
      </c>
      <c r="H250" t="s">
        <v>11</v>
      </c>
      <c r="I250" t="s">
        <v>34</v>
      </c>
      <c r="J250">
        <f t="shared" si="9"/>
        <v>17980000</v>
      </c>
      <c r="K250">
        <f t="shared" si="10"/>
        <v>12</v>
      </c>
      <c r="L250">
        <f t="shared" si="11"/>
        <v>50</v>
      </c>
    </row>
    <row r="251" spans="1:12" x14ac:dyDescent="0.3">
      <c r="A251" t="s">
        <v>530</v>
      </c>
      <c r="B251" t="s">
        <v>531</v>
      </c>
      <c r="C251">
        <v>989941241</v>
      </c>
      <c r="D251" s="3">
        <v>8990000</v>
      </c>
      <c r="E251">
        <v>1</v>
      </c>
      <c r="F251" s="5">
        <v>45651</v>
      </c>
      <c r="G251" t="s">
        <v>7</v>
      </c>
      <c r="H251" t="s">
        <v>11</v>
      </c>
      <c r="I251" t="s">
        <v>34</v>
      </c>
      <c r="J251">
        <f t="shared" si="9"/>
        <v>8990000</v>
      </c>
      <c r="K251">
        <f t="shared" si="10"/>
        <v>12</v>
      </c>
      <c r="L251">
        <f t="shared" si="11"/>
        <v>52</v>
      </c>
    </row>
    <row r="252" spans="1:12" x14ac:dyDescent="0.3">
      <c r="A252" t="s">
        <v>532</v>
      </c>
      <c r="B252" t="s">
        <v>533</v>
      </c>
      <c r="C252">
        <v>998329927</v>
      </c>
      <c r="D252" s="3">
        <v>22990000</v>
      </c>
      <c r="E252">
        <v>1</v>
      </c>
      <c r="F252" s="5">
        <v>45632</v>
      </c>
      <c r="G252" t="s">
        <v>6</v>
      </c>
      <c r="H252" t="s">
        <v>9</v>
      </c>
      <c r="I252" t="s">
        <v>36</v>
      </c>
      <c r="J252">
        <f t="shared" si="9"/>
        <v>22990000</v>
      </c>
      <c r="K252">
        <f t="shared" si="10"/>
        <v>12</v>
      </c>
      <c r="L252">
        <f t="shared" si="11"/>
        <v>49</v>
      </c>
    </row>
    <row r="253" spans="1:12" x14ac:dyDescent="0.3">
      <c r="A253" t="s">
        <v>534</v>
      </c>
      <c r="B253" t="s">
        <v>535</v>
      </c>
      <c r="C253">
        <v>920605783</v>
      </c>
      <c r="D253" s="3">
        <v>9990000</v>
      </c>
      <c r="E253">
        <v>2</v>
      </c>
      <c r="F253" s="5">
        <v>45657</v>
      </c>
      <c r="G253" t="s">
        <v>6</v>
      </c>
      <c r="H253" t="s">
        <v>11</v>
      </c>
      <c r="I253" t="s">
        <v>25</v>
      </c>
      <c r="J253">
        <f t="shared" si="9"/>
        <v>19980000</v>
      </c>
      <c r="K253">
        <f t="shared" si="10"/>
        <v>12</v>
      </c>
      <c r="L253">
        <f t="shared" si="11"/>
        <v>53</v>
      </c>
    </row>
    <row r="254" spans="1:12" x14ac:dyDescent="0.3">
      <c r="A254" t="s">
        <v>536</v>
      </c>
      <c r="B254" t="s">
        <v>87</v>
      </c>
      <c r="C254">
        <v>940281491</v>
      </c>
      <c r="D254" s="3">
        <v>2990000</v>
      </c>
      <c r="E254">
        <v>4</v>
      </c>
      <c r="F254" s="5">
        <v>45650</v>
      </c>
      <c r="G254" t="s">
        <v>7</v>
      </c>
      <c r="H254" t="s">
        <v>10</v>
      </c>
      <c r="I254" t="s">
        <v>24</v>
      </c>
      <c r="J254">
        <f t="shared" si="9"/>
        <v>11960000</v>
      </c>
      <c r="K254">
        <f t="shared" si="10"/>
        <v>12</v>
      </c>
      <c r="L254">
        <f t="shared" si="11"/>
        <v>52</v>
      </c>
    </row>
    <row r="255" spans="1:12" x14ac:dyDescent="0.3">
      <c r="A255" t="s">
        <v>537</v>
      </c>
      <c r="B255" t="s">
        <v>538</v>
      </c>
      <c r="C255">
        <v>916904975</v>
      </c>
      <c r="D255" s="3">
        <v>12500000</v>
      </c>
      <c r="E255">
        <v>2</v>
      </c>
      <c r="F255" s="5">
        <v>45646</v>
      </c>
      <c r="G255" t="s">
        <v>8</v>
      </c>
      <c r="H255" t="s">
        <v>11</v>
      </c>
      <c r="I255" t="s">
        <v>20</v>
      </c>
      <c r="J255">
        <f t="shared" si="9"/>
        <v>25000000</v>
      </c>
      <c r="K255">
        <f t="shared" si="10"/>
        <v>12</v>
      </c>
      <c r="L255">
        <f t="shared" si="11"/>
        <v>51</v>
      </c>
    </row>
    <row r="256" spans="1:12" x14ac:dyDescent="0.3">
      <c r="A256" t="s">
        <v>539</v>
      </c>
      <c r="B256" t="s">
        <v>91</v>
      </c>
      <c r="C256">
        <v>935808537</v>
      </c>
      <c r="D256" s="3">
        <v>5290000</v>
      </c>
      <c r="E256">
        <v>2</v>
      </c>
      <c r="F256" s="5">
        <v>45363</v>
      </c>
      <c r="G256" t="s">
        <v>8</v>
      </c>
      <c r="H256" t="s">
        <v>10</v>
      </c>
      <c r="I256" t="s">
        <v>29</v>
      </c>
      <c r="J256">
        <f t="shared" si="9"/>
        <v>10580000</v>
      </c>
      <c r="K256">
        <f t="shared" si="10"/>
        <v>3</v>
      </c>
      <c r="L256">
        <f t="shared" si="11"/>
        <v>11</v>
      </c>
    </row>
    <row r="257" spans="1:12" x14ac:dyDescent="0.3">
      <c r="A257" t="s">
        <v>540</v>
      </c>
      <c r="B257" t="s">
        <v>541</v>
      </c>
      <c r="C257">
        <v>969849511</v>
      </c>
      <c r="D257" s="3">
        <v>15990000</v>
      </c>
      <c r="E257">
        <v>2</v>
      </c>
      <c r="F257" s="5">
        <v>45650</v>
      </c>
      <c r="G257" t="s">
        <v>6</v>
      </c>
      <c r="H257" t="s">
        <v>9</v>
      </c>
      <c r="I257" t="s">
        <v>17</v>
      </c>
      <c r="J257">
        <f t="shared" si="9"/>
        <v>31980000</v>
      </c>
      <c r="K257">
        <f t="shared" si="10"/>
        <v>12</v>
      </c>
      <c r="L257">
        <f t="shared" si="11"/>
        <v>52</v>
      </c>
    </row>
    <row r="258" spans="1:12" x14ac:dyDescent="0.3">
      <c r="A258" t="s">
        <v>542</v>
      </c>
      <c r="B258" t="s">
        <v>543</v>
      </c>
      <c r="C258">
        <v>923448342</v>
      </c>
      <c r="D258" s="3">
        <v>8900000</v>
      </c>
      <c r="E258">
        <v>2</v>
      </c>
      <c r="F258" s="5">
        <v>45637</v>
      </c>
      <c r="G258" t="s">
        <v>8</v>
      </c>
      <c r="H258" t="s">
        <v>11</v>
      </c>
      <c r="I258" t="s">
        <v>21</v>
      </c>
      <c r="J258">
        <f t="shared" si="9"/>
        <v>17800000</v>
      </c>
      <c r="K258">
        <f t="shared" si="10"/>
        <v>12</v>
      </c>
      <c r="L258">
        <f t="shared" si="11"/>
        <v>50</v>
      </c>
    </row>
    <row r="259" spans="1:12" x14ac:dyDescent="0.3">
      <c r="A259" t="s">
        <v>544</v>
      </c>
      <c r="B259" t="s">
        <v>545</v>
      </c>
      <c r="C259">
        <v>942002808</v>
      </c>
      <c r="D259" s="3">
        <v>8900000</v>
      </c>
      <c r="E259">
        <v>2</v>
      </c>
      <c r="F259" s="5">
        <v>45647</v>
      </c>
      <c r="G259" t="s">
        <v>7</v>
      </c>
      <c r="H259" t="s">
        <v>11</v>
      </c>
      <c r="I259" t="s">
        <v>21</v>
      </c>
      <c r="J259">
        <f t="shared" ref="J259:J281" si="12">E259*D259</f>
        <v>17800000</v>
      </c>
      <c r="K259">
        <f t="shared" ref="K259:K281" si="13">MONTH(F259)</f>
        <v>12</v>
      </c>
      <c r="L259">
        <f t="shared" ref="L259:L281" si="14">WEEKNUM(F259)</f>
        <v>51</v>
      </c>
    </row>
    <row r="260" spans="1:12" x14ac:dyDescent="0.3">
      <c r="A260" t="s">
        <v>546</v>
      </c>
      <c r="B260" t="s">
        <v>547</v>
      </c>
      <c r="C260">
        <v>916866268</v>
      </c>
      <c r="D260" s="3">
        <v>280000</v>
      </c>
      <c r="E260">
        <v>3</v>
      </c>
      <c r="F260" s="5">
        <v>45644</v>
      </c>
      <c r="G260" t="s">
        <v>7</v>
      </c>
      <c r="H260" t="s">
        <v>10</v>
      </c>
      <c r="I260" t="s">
        <v>32</v>
      </c>
      <c r="J260">
        <f t="shared" si="12"/>
        <v>840000</v>
      </c>
      <c r="K260">
        <f t="shared" si="13"/>
        <v>12</v>
      </c>
      <c r="L260">
        <f t="shared" si="14"/>
        <v>51</v>
      </c>
    </row>
    <row r="261" spans="1:12" x14ac:dyDescent="0.3">
      <c r="A261" t="s">
        <v>548</v>
      </c>
      <c r="B261" t="s">
        <v>538</v>
      </c>
      <c r="C261">
        <v>965177213</v>
      </c>
      <c r="D261" s="3">
        <v>350000</v>
      </c>
      <c r="E261">
        <v>1</v>
      </c>
      <c r="F261" s="5">
        <v>45654</v>
      </c>
      <c r="G261" t="s">
        <v>6</v>
      </c>
      <c r="H261" t="s">
        <v>10</v>
      </c>
      <c r="I261" t="s">
        <v>13</v>
      </c>
      <c r="J261">
        <f t="shared" si="12"/>
        <v>350000</v>
      </c>
      <c r="K261">
        <f t="shared" si="13"/>
        <v>12</v>
      </c>
      <c r="L261">
        <f t="shared" si="14"/>
        <v>52</v>
      </c>
    </row>
    <row r="262" spans="1:12" x14ac:dyDescent="0.3">
      <c r="A262" t="s">
        <v>549</v>
      </c>
      <c r="B262" t="s">
        <v>550</v>
      </c>
      <c r="C262">
        <v>919584466</v>
      </c>
      <c r="D262" s="3">
        <v>22990000</v>
      </c>
      <c r="E262">
        <v>2</v>
      </c>
      <c r="F262" s="5">
        <v>45632</v>
      </c>
      <c r="G262" t="s">
        <v>6</v>
      </c>
      <c r="H262" t="s">
        <v>9</v>
      </c>
      <c r="I262" t="s">
        <v>36</v>
      </c>
      <c r="J262">
        <f t="shared" si="12"/>
        <v>45980000</v>
      </c>
      <c r="K262">
        <f t="shared" si="13"/>
        <v>12</v>
      </c>
      <c r="L262">
        <f t="shared" si="14"/>
        <v>49</v>
      </c>
    </row>
    <row r="263" spans="1:12" x14ac:dyDescent="0.3">
      <c r="A263" t="s">
        <v>551</v>
      </c>
      <c r="B263" t="s">
        <v>552</v>
      </c>
      <c r="C263">
        <v>946850196</v>
      </c>
      <c r="D263" s="3">
        <v>3990000</v>
      </c>
      <c r="E263">
        <v>1</v>
      </c>
      <c r="F263" s="5">
        <v>45652</v>
      </c>
      <c r="G263" t="s">
        <v>7</v>
      </c>
      <c r="H263" t="s">
        <v>10</v>
      </c>
      <c r="I263" t="s">
        <v>28</v>
      </c>
      <c r="J263">
        <f t="shared" si="12"/>
        <v>3990000</v>
      </c>
      <c r="K263">
        <f t="shared" si="13"/>
        <v>12</v>
      </c>
      <c r="L263">
        <f t="shared" si="14"/>
        <v>52</v>
      </c>
    </row>
    <row r="264" spans="1:12" x14ac:dyDescent="0.3">
      <c r="A264" t="s">
        <v>553</v>
      </c>
      <c r="B264" t="s">
        <v>554</v>
      </c>
      <c r="C264">
        <v>926937148</v>
      </c>
      <c r="D264" s="3">
        <v>6990000</v>
      </c>
      <c r="E264">
        <v>2</v>
      </c>
      <c r="F264" s="5">
        <v>45646</v>
      </c>
      <c r="G264" t="s">
        <v>6</v>
      </c>
      <c r="H264" t="s">
        <v>9</v>
      </c>
      <c r="I264" t="s">
        <v>30</v>
      </c>
      <c r="J264">
        <f t="shared" si="12"/>
        <v>13980000</v>
      </c>
      <c r="K264">
        <f t="shared" si="13"/>
        <v>12</v>
      </c>
      <c r="L264">
        <f t="shared" si="14"/>
        <v>51</v>
      </c>
    </row>
    <row r="265" spans="1:12" x14ac:dyDescent="0.3">
      <c r="A265" t="s">
        <v>555</v>
      </c>
      <c r="B265" t="s">
        <v>311</v>
      </c>
      <c r="C265">
        <v>994120751</v>
      </c>
      <c r="D265" s="3">
        <v>9990000</v>
      </c>
      <c r="E265">
        <v>1</v>
      </c>
      <c r="F265" s="5">
        <v>45635</v>
      </c>
      <c r="G265" t="s">
        <v>7</v>
      </c>
      <c r="H265" t="s">
        <v>9</v>
      </c>
      <c r="I265" t="s">
        <v>12</v>
      </c>
      <c r="J265">
        <f t="shared" si="12"/>
        <v>9990000</v>
      </c>
      <c r="K265">
        <f t="shared" si="13"/>
        <v>12</v>
      </c>
      <c r="L265">
        <f t="shared" si="14"/>
        <v>50</v>
      </c>
    </row>
    <row r="266" spans="1:12" x14ac:dyDescent="0.3">
      <c r="A266" t="s">
        <v>556</v>
      </c>
      <c r="B266" t="s">
        <v>557</v>
      </c>
      <c r="C266">
        <v>961100987</v>
      </c>
      <c r="D266" s="3">
        <v>15990000</v>
      </c>
      <c r="E266">
        <v>2</v>
      </c>
      <c r="F266" s="5">
        <v>45631</v>
      </c>
      <c r="G266" t="s">
        <v>8</v>
      </c>
      <c r="H266" t="s">
        <v>9</v>
      </c>
      <c r="I266" t="s">
        <v>17</v>
      </c>
      <c r="J266">
        <f t="shared" si="12"/>
        <v>31980000</v>
      </c>
      <c r="K266">
        <f t="shared" si="13"/>
        <v>12</v>
      </c>
      <c r="L266">
        <f t="shared" si="14"/>
        <v>49</v>
      </c>
    </row>
    <row r="267" spans="1:12" x14ac:dyDescent="0.3">
      <c r="A267" t="s">
        <v>558</v>
      </c>
      <c r="B267" t="s">
        <v>559</v>
      </c>
      <c r="C267">
        <v>959251188</v>
      </c>
      <c r="D267" s="3">
        <v>8990000</v>
      </c>
      <c r="E267">
        <v>2</v>
      </c>
      <c r="F267" s="5">
        <v>45637</v>
      </c>
      <c r="G267" t="s">
        <v>8</v>
      </c>
      <c r="H267" t="s">
        <v>11</v>
      </c>
      <c r="I267" t="s">
        <v>34</v>
      </c>
      <c r="J267">
        <f t="shared" si="12"/>
        <v>17980000</v>
      </c>
      <c r="K267">
        <f t="shared" si="13"/>
        <v>12</v>
      </c>
      <c r="L267">
        <f t="shared" si="14"/>
        <v>50</v>
      </c>
    </row>
    <row r="268" spans="1:12" x14ac:dyDescent="0.3">
      <c r="A268" t="s">
        <v>560</v>
      </c>
      <c r="B268" t="s">
        <v>561</v>
      </c>
      <c r="C268">
        <v>933842070</v>
      </c>
      <c r="D268" s="3">
        <v>8990000</v>
      </c>
      <c r="E268">
        <v>2</v>
      </c>
      <c r="F268" s="5">
        <v>45657</v>
      </c>
      <c r="G268" t="s">
        <v>7</v>
      </c>
      <c r="H268" t="s">
        <v>11</v>
      </c>
      <c r="I268" t="s">
        <v>34</v>
      </c>
      <c r="J268">
        <f t="shared" si="12"/>
        <v>17980000</v>
      </c>
      <c r="K268">
        <f t="shared" si="13"/>
        <v>12</v>
      </c>
      <c r="L268">
        <f t="shared" si="14"/>
        <v>53</v>
      </c>
    </row>
    <row r="269" spans="1:12" x14ac:dyDescent="0.3">
      <c r="A269" t="s">
        <v>562</v>
      </c>
      <c r="B269" t="s">
        <v>563</v>
      </c>
      <c r="C269">
        <v>952111160</v>
      </c>
      <c r="D269" s="3">
        <v>15990000</v>
      </c>
      <c r="E269">
        <v>2</v>
      </c>
      <c r="F269" s="5">
        <v>45641</v>
      </c>
      <c r="G269" t="s">
        <v>6</v>
      </c>
      <c r="H269" t="s">
        <v>9</v>
      </c>
      <c r="I269" t="s">
        <v>17</v>
      </c>
      <c r="J269">
        <f t="shared" si="12"/>
        <v>31980000</v>
      </c>
      <c r="K269">
        <f t="shared" si="13"/>
        <v>12</v>
      </c>
      <c r="L269">
        <f t="shared" si="14"/>
        <v>51</v>
      </c>
    </row>
    <row r="270" spans="1:12" x14ac:dyDescent="0.3">
      <c r="A270" t="s">
        <v>564</v>
      </c>
      <c r="B270" t="s">
        <v>565</v>
      </c>
      <c r="C270">
        <v>911590610</v>
      </c>
      <c r="D270" s="3">
        <v>12500000</v>
      </c>
      <c r="E270">
        <v>2</v>
      </c>
      <c r="F270" s="5">
        <v>45643</v>
      </c>
      <c r="G270" t="s">
        <v>8</v>
      </c>
      <c r="H270" t="s">
        <v>9</v>
      </c>
      <c r="I270" t="s">
        <v>31</v>
      </c>
      <c r="J270">
        <f t="shared" si="12"/>
        <v>25000000</v>
      </c>
      <c r="K270">
        <f t="shared" si="13"/>
        <v>12</v>
      </c>
      <c r="L270">
        <f t="shared" si="14"/>
        <v>51</v>
      </c>
    </row>
    <row r="271" spans="1:12" x14ac:dyDescent="0.3">
      <c r="A271" t="s">
        <v>566</v>
      </c>
      <c r="B271" t="s">
        <v>567</v>
      </c>
      <c r="C271">
        <v>911656329</v>
      </c>
      <c r="D271" s="3">
        <v>12500000</v>
      </c>
      <c r="E271">
        <v>1</v>
      </c>
      <c r="F271" s="5">
        <v>45640</v>
      </c>
      <c r="G271" t="s">
        <v>8</v>
      </c>
      <c r="H271" t="s">
        <v>11</v>
      </c>
      <c r="I271" t="s">
        <v>20</v>
      </c>
      <c r="J271">
        <f t="shared" si="12"/>
        <v>12500000</v>
      </c>
      <c r="K271">
        <f t="shared" si="13"/>
        <v>12</v>
      </c>
      <c r="L271">
        <f t="shared" si="14"/>
        <v>50</v>
      </c>
    </row>
    <row r="272" spans="1:12" x14ac:dyDescent="0.3">
      <c r="A272" t="s">
        <v>568</v>
      </c>
      <c r="B272" t="s">
        <v>569</v>
      </c>
      <c r="C272">
        <v>947543473</v>
      </c>
      <c r="D272" s="3">
        <v>80000</v>
      </c>
      <c r="E272">
        <v>1</v>
      </c>
      <c r="F272" s="5">
        <v>45648</v>
      </c>
      <c r="G272" t="s">
        <v>7</v>
      </c>
      <c r="H272" t="s">
        <v>10</v>
      </c>
      <c r="I272" t="s">
        <v>16</v>
      </c>
      <c r="J272">
        <f t="shared" si="12"/>
        <v>80000</v>
      </c>
      <c r="K272">
        <f t="shared" si="13"/>
        <v>12</v>
      </c>
      <c r="L272">
        <f t="shared" si="14"/>
        <v>52</v>
      </c>
    </row>
    <row r="273" spans="1:12" x14ac:dyDescent="0.3">
      <c r="A273" t="s">
        <v>570</v>
      </c>
      <c r="B273" t="s">
        <v>571</v>
      </c>
      <c r="C273">
        <v>984605013</v>
      </c>
      <c r="D273" s="3">
        <v>150000</v>
      </c>
      <c r="E273">
        <v>4</v>
      </c>
      <c r="F273" s="5">
        <v>45628</v>
      </c>
      <c r="G273" t="s">
        <v>7</v>
      </c>
      <c r="H273" t="s">
        <v>10</v>
      </c>
      <c r="I273" t="s">
        <v>27</v>
      </c>
      <c r="J273">
        <f t="shared" si="12"/>
        <v>600000</v>
      </c>
      <c r="K273">
        <f t="shared" si="13"/>
        <v>12</v>
      </c>
      <c r="L273">
        <f t="shared" si="14"/>
        <v>49</v>
      </c>
    </row>
    <row r="274" spans="1:12" x14ac:dyDescent="0.3">
      <c r="A274" t="s">
        <v>572</v>
      </c>
      <c r="B274" t="s">
        <v>573</v>
      </c>
      <c r="C274">
        <v>997735896</v>
      </c>
      <c r="D274" s="3">
        <v>9990000</v>
      </c>
      <c r="E274">
        <v>1</v>
      </c>
      <c r="F274" s="5">
        <v>45649</v>
      </c>
      <c r="G274" t="s">
        <v>7</v>
      </c>
      <c r="H274" t="s">
        <v>11</v>
      </c>
      <c r="I274" t="s">
        <v>25</v>
      </c>
      <c r="J274">
        <f t="shared" si="12"/>
        <v>9990000</v>
      </c>
      <c r="K274">
        <f t="shared" si="13"/>
        <v>12</v>
      </c>
      <c r="L274">
        <f t="shared" si="14"/>
        <v>52</v>
      </c>
    </row>
    <row r="275" spans="1:12" x14ac:dyDescent="0.3">
      <c r="A275" t="s">
        <v>574</v>
      </c>
      <c r="B275" t="s">
        <v>575</v>
      </c>
      <c r="C275">
        <v>936347197</v>
      </c>
      <c r="D275" s="3">
        <v>3990000</v>
      </c>
      <c r="E275">
        <v>3</v>
      </c>
      <c r="F275" s="5">
        <v>45657</v>
      </c>
      <c r="G275" t="s">
        <v>6</v>
      </c>
      <c r="H275" t="s">
        <v>10</v>
      </c>
      <c r="I275" t="s">
        <v>28</v>
      </c>
      <c r="J275">
        <f t="shared" si="12"/>
        <v>11970000</v>
      </c>
      <c r="K275">
        <f t="shared" si="13"/>
        <v>12</v>
      </c>
      <c r="L275">
        <f t="shared" si="14"/>
        <v>53</v>
      </c>
    </row>
    <row r="276" spans="1:12" x14ac:dyDescent="0.3">
      <c r="A276" t="s">
        <v>576</v>
      </c>
      <c r="B276" t="s">
        <v>577</v>
      </c>
      <c r="C276">
        <v>952552488</v>
      </c>
      <c r="D276" s="3">
        <v>150000</v>
      </c>
      <c r="E276">
        <v>3</v>
      </c>
      <c r="F276" s="5">
        <v>45638</v>
      </c>
      <c r="G276" t="s">
        <v>6</v>
      </c>
      <c r="H276" t="s">
        <v>10</v>
      </c>
      <c r="I276" t="s">
        <v>27</v>
      </c>
      <c r="J276">
        <f t="shared" si="12"/>
        <v>450000</v>
      </c>
      <c r="K276">
        <f t="shared" si="13"/>
        <v>12</v>
      </c>
      <c r="L276">
        <f t="shared" si="14"/>
        <v>50</v>
      </c>
    </row>
    <row r="277" spans="1:12" x14ac:dyDescent="0.3">
      <c r="A277" t="s">
        <v>578</v>
      </c>
      <c r="B277" t="s">
        <v>579</v>
      </c>
      <c r="C277">
        <v>987049595</v>
      </c>
      <c r="D277" s="3">
        <v>12500000</v>
      </c>
      <c r="E277">
        <v>2</v>
      </c>
      <c r="F277" s="5">
        <v>45642</v>
      </c>
      <c r="G277" t="s">
        <v>8</v>
      </c>
      <c r="H277" t="s">
        <v>11</v>
      </c>
      <c r="I277" t="s">
        <v>20</v>
      </c>
      <c r="J277">
        <f t="shared" si="12"/>
        <v>25000000</v>
      </c>
      <c r="K277">
        <f t="shared" si="13"/>
        <v>12</v>
      </c>
      <c r="L277">
        <f t="shared" si="14"/>
        <v>51</v>
      </c>
    </row>
    <row r="278" spans="1:12" x14ac:dyDescent="0.3">
      <c r="A278" t="s">
        <v>580</v>
      </c>
      <c r="B278" t="s">
        <v>581</v>
      </c>
      <c r="C278">
        <v>940667888</v>
      </c>
      <c r="D278" s="3">
        <v>8900000</v>
      </c>
      <c r="E278">
        <v>2</v>
      </c>
      <c r="F278" s="5">
        <v>45637</v>
      </c>
      <c r="G278" t="s">
        <v>7</v>
      </c>
      <c r="H278" t="s">
        <v>11</v>
      </c>
      <c r="I278" t="s">
        <v>21</v>
      </c>
      <c r="J278">
        <f t="shared" si="12"/>
        <v>17800000</v>
      </c>
      <c r="K278">
        <f t="shared" si="13"/>
        <v>12</v>
      </c>
      <c r="L278">
        <f t="shared" si="14"/>
        <v>50</v>
      </c>
    </row>
    <row r="279" spans="1:12" x14ac:dyDescent="0.3">
      <c r="A279" t="s">
        <v>582</v>
      </c>
      <c r="B279" t="s">
        <v>583</v>
      </c>
      <c r="C279">
        <v>911994519</v>
      </c>
      <c r="D279" s="3">
        <v>9990000</v>
      </c>
      <c r="E279">
        <v>2</v>
      </c>
      <c r="F279" s="5">
        <v>45652</v>
      </c>
      <c r="G279" t="s">
        <v>8</v>
      </c>
      <c r="H279" t="s">
        <v>11</v>
      </c>
      <c r="I279" t="s">
        <v>25</v>
      </c>
      <c r="J279">
        <f t="shared" si="12"/>
        <v>19980000</v>
      </c>
      <c r="K279">
        <f t="shared" si="13"/>
        <v>12</v>
      </c>
      <c r="L279">
        <f t="shared" si="14"/>
        <v>52</v>
      </c>
    </row>
    <row r="280" spans="1:12" x14ac:dyDescent="0.3">
      <c r="A280" t="s">
        <v>584</v>
      </c>
      <c r="B280" t="s">
        <v>585</v>
      </c>
      <c r="C280">
        <v>918846539</v>
      </c>
      <c r="D280" s="3">
        <v>18490000</v>
      </c>
      <c r="E280">
        <v>2</v>
      </c>
      <c r="F280" s="5">
        <v>45630</v>
      </c>
      <c r="G280" t="s">
        <v>6</v>
      </c>
      <c r="H280" t="s">
        <v>11</v>
      </c>
      <c r="I280" t="s">
        <v>19</v>
      </c>
      <c r="J280">
        <f t="shared" si="12"/>
        <v>36980000</v>
      </c>
      <c r="K280">
        <f t="shared" si="13"/>
        <v>12</v>
      </c>
      <c r="L280">
        <f t="shared" si="14"/>
        <v>49</v>
      </c>
    </row>
    <row r="281" spans="1:12" x14ac:dyDescent="0.3">
      <c r="A281" t="s">
        <v>586</v>
      </c>
      <c r="B281" t="s">
        <v>587</v>
      </c>
      <c r="C281">
        <v>957623800</v>
      </c>
      <c r="D281" s="3">
        <v>6990000</v>
      </c>
      <c r="E281">
        <v>2</v>
      </c>
      <c r="F281" s="5">
        <v>45637</v>
      </c>
      <c r="G281" t="s">
        <v>8</v>
      </c>
      <c r="H281" t="s">
        <v>9</v>
      </c>
      <c r="I281" t="s">
        <v>30</v>
      </c>
      <c r="J281">
        <f t="shared" si="12"/>
        <v>13980000</v>
      </c>
      <c r="K281">
        <f t="shared" si="13"/>
        <v>12</v>
      </c>
      <c r="L281">
        <f t="shared" si="14"/>
        <v>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2026-01-27T01:46:43Z</dcterms:created>
  <dcterms:modified xsi:type="dcterms:W3CDTF">2026-01-28T04:42:34Z</dcterms:modified>
</cp:coreProperties>
</file>