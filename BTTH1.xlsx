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E8B442B4-1F6C-439E-86A9-07A376A3EE42}" xr6:coauthVersionLast="47" xr6:coauthVersionMax="47" xr10:uidLastSave="{00000000-0000-0000-0000-000000000000}"/>
  <bookViews>
    <workbookView xWindow="-108" yWindow="-108" windowWidth="23256" windowHeight="13896" activeTab="1" xr2:uid="{51A8DE76-0104-4934-98A6-203AFDF59F15}"/>
  </bookViews>
  <sheets>
    <sheet name="Sheet2" sheetId="2" r:id="rId1"/>
    <sheet name="Sheet4" sheetId="6" r:id="rId2"/>
    <sheet name="Sheet3" sheetId="4" r:id="rId3"/>
    <sheet name="Sheet1" sheetId="1" r:id="rId4"/>
  </sheets>
  <definedNames>
    <definedName name="_xlnm._FilterDatabase" localSheetId="3" hidden="1">Sheet1!$A$1:$J$281</definedName>
    <definedName name="Slicer_Chi_Nhanh">#N/A</definedName>
    <definedName name="Slicer_Danh_Muc">#N/A</definedName>
  </definedNames>
  <calcPr calcId="191029"/>
  <pivotCaches>
    <pivotCache cacheId="1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4" l="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alcChain>
</file>

<file path=xl/sharedStrings.xml><?xml version="1.0" encoding="utf-8"?>
<sst xmlns="http://schemas.openxmlformats.org/spreadsheetml/2006/main" count="1462" uniqueCount="603">
  <si>
    <t>Date</t>
  </si>
  <si>
    <t>Chi_Nhanh</t>
  </si>
  <si>
    <t>Danh_Muc</t>
  </si>
  <si>
    <t>Ten_SP</t>
  </si>
  <si>
    <t>Long Bien</t>
  </si>
  <si>
    <t>Dien thoai</t>
  </si>
  <si>
    <t>Vivo V29</t>
  </si>
  <si>
    <t>Dong Da</t>
  </si>
  <si>
    <t>Phu kien</t>
  </si>
  <si>
    <t>Op lung Samsung</t>
  </si>
  <si>
    <t>OPPO Find X6</t>
  </si>
  <si>
    <t>Samsung S24</t>
  </si>
  <si>
    <t>Mieng dan man hinh</t>
  </si>
  <si>
    <t>Cau Giay</t>
  </si>
  <si>
    <t>Xiaomi 14</t>
  </si>
  <si>
    <t>iPhone 15 Pro Max</t>
  </si>
  <si>
    <t>May tinh bang</t>
  </si>
  <si>
    <t>iPad Air</t>
  </si>
  <si>
    <t>iPad Gen 10</t>
  </si>
  <si>
    <t>Lenovo Tab M10</t>
  </si>
  <si>
    <t>Tai nghe co day</t>
  </si>
  <si>
    <t>Sac du phong 20000mAh</t>
  </si>
  <si>
    <t>Galaxy Buds2 Pro</t>
  </si>
  <si>
    <t>Samsung Tab A9</t>
  </si>
  <si>
    <t>Samsung S24 Ultra</t>
  </si>
  <si>
    <t>Cap sac Type-C</t>
  </si>
  <si>
    <t>AirPods 3</t>
  </si>
  <si>
    <t>Apple Watch SE</t>
  </si>
  <si>
    <t>Realme 12 Pro</t>
  </si>
  <si>
    <t>iPhone 15</t>
  </si>
  <si>
    <t>Sac du phong 10000mAh</t>
  </si>
  <si>
    <t>Cap sac Lightning</t>
  </si>
  <si>
    <t>Xiaomi Pad 6</t>
  </si>
  <si>
    <t>Tai nghe Bluetooth</t>
  </si>
  <si>
    <t>iPhone 15 Pro</t>
  </si>
  <si>
    <t xml:space="preserve"> Tran Minh Uy </t>
  </si>
  <si>
    <t xml:space="preserve"> Quach Thanh Minh </t>
  </si>
  <si>
    <t xml:space="preserve"> Tang Kim Lan </t>
  </si>
  <si>
    <t xml:space="preserve"> Pham Van Kien </t>
  </si>
  <si>
    <t xml:space="preserve"> Pham Van Phuc </t>
  </si>
  <si>
    <t xml:space="preserve"> Tran Van Lan </t>
  </si>
  <si>
    <t xml:space="preserve"> Duong Ngoc Cuong </t>
  </si>
  <si>
    <t xml:space="preserve"> Tang Ngoc Uy </t>
  </si>
  <si>
    <t xml:space="preserve"> Tang Kim Phuc </t>
  </si>
  <si>
    <t xml:space="preserve"> Pham Hong Hanh </t>
  </si>
  <si>
    <t xml:space="preserve"> Ma Hong Van </t>
  </si>
  <si>
    <t xml:space="preserve"> Ngo Kim Van </t>
  </si>
  <si>
    <t xml:space="preserve"> Nguyen Thi Hanh </t>
  </si>
  <si>
    <t xml:space="preserve"> Le Minh Tam </t>
  </si>
  <si>
    <t xml:space="preserve"> Do Hoang Quynh </t>
  </si>
  <si>
    <t xml:space="preserve"> Dinh Kim Kien </t>
  </si>
  <si>
    <t xml:space="preserve"> La Van Yen </t>
  </si>
  <si>
    <t xml:space="preserve"> Truong Hoang Kien </t>
  </si>
  <si>
    <t xml:space="preserve"> Ma Hong Ngoc </t>
  </si>
  <si>
    <t xml:space="preserve"> Duong Thi Quynh </t>
  </si>
  <si>
    <t xml:space="preserve"> Bui Thi Dung </t>
  </si>
  <si>
    <t xml:space="preserve"> Nguyen Duc Van </t>
  </si>
  <si>
    <t xml:space="preserve"> La Ngoc Xuan </t>
  </si>
  <si>
    <t xml:space="preserve"> Tran Van Quynh </t>
  </si>
  <si>
    <t xml:space="preserve"> Ma Thi Em </t>
  </si>
  <si>
    <t xml:space="preserve"> Truong Minh Yen </t>
  </si>
  <si>
    <t xml:space="preserve"> Quach Thanh Xuan </t>
  </si>
  <si>
    <t xml:space="preserve"> Truong Anh Em </t>
  </si>
  <si>
    <t xml:space="preserve"> To Thi Ngoc </t>
  </si>
  <si>
    <t xml:space="preserve"> Ma Van Giang </t>
  </si>
  <si>
    <t xml:space="preserve"> Tang Thanh Giang </t>
  </si>
  <si>
    <t xml:space="preserve"> Ly Hong Xuan </t>
  </si>
  <si>
    <t xml:space="preserve"> Tang Anh Minh </t>
  </si>
  <si>
    <t xml:space="preserve"> Pham Ngoc Cuong </t>
  </si>
  <si>
    <t xml:space="preserve"> Ly Duc Hanh </t>
  </si>
  <si>
    <t xml:space="preserve"> Tang Hong Minh </t>
  </si>
  <si>
    <t xml:space="preserve"> Duong Van Minh </t>
  </si>
  <si>
    <t xml:space="preserve"> Cao Minh Son </t>
  </si>
  <si>
    <t xml:space="preserve"> Pham Kim Kien </t>
  </si>
  <si>
    <t xml:space="preserve"> Bui Minh Ngoc </t>
  </si>
  <si>
    <t xml:space="preserve"> Bui Van Son </t>
  </si>
  <si>
    <t xml:space="preserve"> Tran Hoang Uy </t>
  </si>
  <si>
    <t xml:space="preserve"> La Hong Ngoc </t>
  </si>
  <si>
    <t xml:space="preserve"> Vu Thi Lan </t>
  </si>
  <si>
    <t xml:space="preserve"> Tran Hong Cuong </t>
  </si>
  <si>
    <t xml:space="preserve"> Ma Kim Kien </t>
  </si>
  <si>
    <t xml:space="preserve"> Hoang Hoang Binh </t>
  </si>
  <si>
    <t xml:space="preserve"> La Hoang Ngoc </t>
  </si>
  <si>
    <t xml:space="preserve"> Cao Minh Cuong </t>
  </si>
  <si>
    <t xml:space="preserve"> Quach Kim Minh </t>
  </si>
  <si>
    <t xml:space="preserve"> Chau Anh Yen </t>
  </si>
  <si>
    <t xml:space="preserve"> Truong Hong Minh </t>
  </si>
  <si>
    <t xml:space="preserve"> Tran Ngoc Phuc </t>
  </si>
  <si>
    <t xml:space="preserve"> Ma Kim Xuan </t>
  </si>
  <si>
    <t xml:space="preserve"> Ly Van Yen </t>
  </si>
  <si>
    <t xml:space="preserve"> Dinh Hong Giang </t>
  </si>
  <si>
    <t xml:space="preserve"> Bui Van Tam </t>
  </si>
  <si>
    <t xml:space="preserve"> Hoang Van Ngoc </t>
  </si>
  <si>
    <t xml:space="preserve"> La Hong Minh </t>
  </si>
  <si>
    <t xml:space="preserve"> Hoang Hong Phuong </t>
  </si>
  <si>
    <t xml:space="preserve"> Truong Kim Binh </t>
  </si>
  <si>
    <t xml:space="preserve"> Dinh Hoang Lan </t>
  </si>
  <si>
    <t xml:space="preserve"> Tang Thanh Em </t>
  </si>
  <si>
    <t xml:space="preserve"> To Thi Quynh </t>
  </si>
  <si>
    <t xml:space="preserve"> Vu Anh Kien </t>
  </si>
  <si>
    <t xml:space="preserve"> Hoang Thanh Phuong </t>
  </si>
  <si>
    <t xml:space="preserve"> To Duc Dung </t>
  </si>
  <si>
    <t xml:space="preserve"> Bui Minh An </t>
  </si>
  <si>
    <t xml:space="preserve"> Tang Kim Cuong </t>
  </si>
  <si>
    <t xml:space="preserve"> Dinh Anh Uy </t>
  </si>
  <si>
    <t xml:space="preserve"> Le Kim Quynh </t>
  </si>
  <si>
    <t xml:space="preserve"> Duong Ngoc Em </t>
  </si>
  <si>
    <t xml:space="preserve"> Tran Thanh Giang </t>
  </si>
  <si>
    <t xml:space="preserve"> Dinh Ngoc Minh </t>
  </si>
  <si>
    <t xml:space="preserve"> Dinh Ngoc Uy </t>
  </si>
  <si>
    <t xml:space="preserve"> Vu Ngoc Uy </t>
  </si>
  <si>
    <t xml:space="preserve"> Le Thanh Son </t>
  </si>
  <si>
    <t xml:space="preserve"> Quach Thi Giang </t>
  </si>
  <si>
    <t xml:space="preserve"> Le Anh Quynh </t>
  </si>
  <si>
    <t xml:space="preserve"> Truong Duc Binh </t>
  </si>
  <si>
    <t xml:space="preserve"> Truong Anh Minh </t>
  </si>
  <si>
    <t xml:space="preserve"> Duong Minh An </t>
  </si>
  <si>
    <t xml:space="preserve"> Duong Duc Yen </t>
  </si>
  <si>
    <t xml:space="preserve"> Ma Thi Minh </t>
  </si>
  <si>
    <t xml:space="preserve"> Tran Minh Tam </t>
  </si>
  <si>
    <t xml:space="preserve"> Ma Kim Phuc </t>
  </si>
  <si>
    <t xml:space="preserve"> Bui Hoang Phuong </t>
  </si>
  <si>
    <t xml:space="preserve"> Vu Anh Yen </t>
  </si>
  <si>
    <t xml:space="preserve"> Ngo Thi Kien </t>
  </si>
  <si>
    <t xml:space="preserve"> Do Thi Binh </t>
  </si>
  <si>
    <t xml:space="preserve"> Cao Anh Hanh </t>
  </si>
  <si>
    <t xml:space="preserve"> Tang Van Xuan </t>
  </si>
  <si>
    <t xml:space="preserve"> Cao Duc Son </t>
  </si>
  <si>
    <t xml:space="preserve"> Ly Thi Quynh </t>
  </si>
  <si>
    <t xml:space="preserve"> Nguyen Kim Tam </t>
  </si>
  <si>
    <t xml:space="preserve"> Chau Duc Van </t>
  </si>
  <si>
    <t xml:space="preserve"> Truong Thi Son </t>
  </si>
  <si>
    <t xml:space="preserve"> To Hong Van </t>
  </si>
  <si>
    <t xml:space="preserve"> Ly Thanh Van </t>
  </si>
  <si>
    <t xml:space="preserve"> To Anh An </t>
  </si>
  <si>
    <t xml:space="preserve"> Bui Minh Giang </t>
  </si>
  <si>
    <t xml:space="preserve"> Le Hong Quynh </t>
  </si>
  <si>
    <t xml:space="preserve"> La Hoang Kien </t>
  </si>
  <si>
    <t xml:space="preserve"> Duong Hoang Yen </t>
  </si>
  <si>
    <t xml:space="preserve"> Cao Thi Lan </t>
  </si>
  <si>
    <t xml:space="preserve"> Truong Thanh Van </t>
  </si>
  <si>
    <t xml:space="preserve"> Hoang Kim Van </t>
  </si>
  <si>
    <t xml:space="preserve"> Chau Hong Hanh </t>
  </si>
  <si>
    <t xml:space="preserve"> La Thanh Kien </t>
  </si>
  <si>
    <t xml:space="preserve"> Hoang Ngoc Em </t>
  </si>
  <si>
    <t xml:space="preserve"> Ngo Kim Dung </t>
  </si>
  <si>
    <t xml:space="preserve"> La Hong Hanh </t>
  </si>
  <si>
    <t xml:space="preserve"> Ly Hong Cuong </t>
  </si>
  <si>
    <t xml:space="preserve"> Chau Minh Em </t>
  </si>
  <si>
    <t xml:space="preserve"> Hoang Hong Em </t>
  </si>
  <si>
    <t xml:space="preserve"> Ly Thanh Phuc </t>
  </si>
  <si>
    <t xml:space="preserve"> Ly Thanh Quynh </t>
  </si>
  <si>
    <t xml:space="preserve"> Pham Hong Xuan </t>
  </si>
  <si>
    <t xml:space="preserve"> Duong Van Hanh </t>
  </si>
  <si>
    <t xml:space="preserve"> To Hoang Yen </t>
  </si>
  <si>
    <t xml:space="preserve"> Le Thanh Ngoc </t>
  </si>
  <si>
    <t xml:space="preserve"> Dinh Duc Ngoc </t>
  </si>
  <si>
    <t xml:space="preserve"> Duong Van Van </t>
  </si>
  <si>
    <t xml:space="preserve"> La Duc Minh </t>
  </si>
  <si>
    <t xml:space="preserve"> Chau Van An </t>
  </si>
  <si>
    <t xml:space="preserve"> Tran Kim Uy </t>
  </si>
  <si>
    <t xml:space="preserve"> Hoang Minh Yen </t>
  </si>
  <si>
    <t xml:space="preserve"> Tang Duc An </t>
  </si>
  <si>
    <t xml:space="preserve"> Nguyen Thi Lan </t>
  </si>
  <si>
    <t xml:space="preserve"> Quach Hoang An </t>
  </si>
  <si>
    <t xml:space="preserve"> Bui Anh Tam </t>
  </si>
  <si>
    <t xml:space="preserve"> Quach Hoang Dung </t>
  </si>
  <si>
    <t xml:space="preserve"> Hoang Kim Uy </t>
  </si>
  <si>
    <t xml:space="preserve"> Do Duc Ngoc </t>
  </si>
  <si>
    <t xml:space="preserve"> Tang Duc Lan </t>
  </si>
  <si>
    <t xml:space="preserve"> Ngo Kim Binh </t>
  </si>
  <si>
    <t xml:space="preserve"> Bui Hoang Tam </t>
  </si>
  <si>
    <t xml:space="preserve"> Bui Ngoc Lan </t>
  </si>
  <si>
    <t xml:space="preserve"> La Duc Em </t>
  </si>
  <si>
    <t xml:space="preserve"> To Thanh Kien </t>
  </si>
  <si>
    <t xml:space="preserve"> Ngo Ngoc Van </t>
  </si>
  <si>
    <t xml:space="preserve"> Duong Ngoc Hanh </t>
  </si>
  <si>
    <t xml:space="preserve"> Le Kim Em </t>
  </si>
  <si>
    <t xml:space="preserve"> Tang Anh Uy </t>
  </si>
  <si>
    <t xml:space="preserve"> Truong Minh Em </t>
  </si>
  <si>
    <t xml:space="preserve"> Dinh Van Giang </t>
  </si>
  <si>
    <t xml:space="preserve"> Chau Hoang Quynh </t>
  </si>
  <si>
    <t xml:space="preserve"> Cao Kim Uy </t>
  </si>
  <si>
    <t xml:space="preserve"> Tang Ngoc Phuong </t>
  </si>
  <si>
    <t xml:space="preserve"> Nguyen Hoang Phuong </t>
  </si>
  <si>
    <t xml:space="preserve"> Chau Duc Phuc </t>
  </si>
  <si>
    <t xml:space="preserve"> Nguyen Hong Xuan </t>
  </si>
  <si>
    <t xml:space="preserve"> Duong Hoang Uy </t>
  </si>
  <si>
    <t xml:space="preserve"> Tang Van Ngoc </t>
  </si>
  <si>
    <t xml:space="preserve"> Pham Hoang Son </t>
  </si>
  <si>
    <t xml:space="preserve"> Quach Minh Minh </t>
  </si>
  <si>
    <t xml:space="preserve"> La Thi Uy </t>
  </si>
  <si>
    <t xml:space="preserve"> Tran Ngoc Xuan </t>
  </si>
  <si>
    <t xml:space="preserve"> Dinh Thi Hanh </t>
  </si>
  <si>
    <t xml:space="preserve"> Duong Hoang Dung </t>
  </si>
  <si>
    <t xml:space="preserve"> Bui Van Phuong </t>
  </si>
  <si>
    <t xml:space="preserve"> Ma Hoang Hanh </t>
  </si>
  <si>
    <t xml:space="preserve"> Quach Thi Xuan </t>
  </si>
  <si>
    <t xml:space="preserve"> Vu Kim Phuong </t>
  </si>
  <si>
    <t xml:space="preserve"> La Minh Phuc </t>
  </si>
  <si>
    <t xml:space="preserve"> Pham Hoang Em </t>
  </si>
  <si>
    <t xml:space="preserve"> Le Minh An </t>
  </si>
  <si>
    <t xml:space="preserve"> Quach Hong Phuong </t>
  </si>
  <si>
    <t xml:space="preserve"> Duong Kim Phuong </t>
  </si>
  <si>
    <t xml:space="preserve"> To Ngoc Minh </t>
  </si>
  <si>
    <t xml:space="preserve"> Cao Van Phuc </t>
  </si>
  <si>
    <t xml:space="preserve"> Ly Minh Hanh </t>
  </si>
  <si>
    <t xml:space="preserve"> Pham Thanh Lan </t>
  </si>
  <si>
    <t xml:space="preserve"> Do Kim Hanh </t>
  </si>
  <si>
    <t xml:space="preserve"> Pham Minh Van </t>
  </si>
  <si>
    <t xml:space="preserve"> Ma Hoang Van </t>
  </si>
  <si>
    <t xml:space="preserve"> Dinh Duc Son </t>
  </si>
  <si>
    <t xml:space="preserve"> Hoang Ngoc Binh </t>
  </si>
  <si>
    <t xml:space="preserve"> Le Thi Yen </t>
  </si>
  <si>
    <t xml:space="preserve"> Vu Kim Uy </t>
  </si>
  <si>
    <t xml:space="preserve"> Ngo Thi Cuong </t>
  </si>
  <si>
    <t xml:space="preserve"> Cao Minh Yen </t>
  </si>
  <si>
    <t xml:space="preserve"> Vu Thanh Uy </t>
  </si>
  <si>
    <t xml:space="preserve"> Bui Thi Yen </t>
  </si>
  <si>
    <t xml:space="preserve"> Truong Anh Phuc </t>
  </si>
  <si>
    <t xml:space="preserve"> Quach Duc Em </t>
  </si>
  <si>
    <t xml:space="preserve"> Nguyen Thi An </t>
  </si>
  <si>
    <t xml:space="preserve"> Ma Ngoc Lan </t>
  </si>
  <si>
    <t xml:space="preserve"> Quach Minh Son </t>
  </si>
  <si>
    <t xml:space="preserve"> Pham Thi Son </t>
  </si>
  <si>
    <t xml:space="preserve"> La Hoang Yen </t>
  </si>
  <si>
    <t xml:space="preserve"> To Thi Tam </t>
  </si>
  <si>
    <t xml:space="preserve"> Tran Anh Tam </t>
  </si>
  <si>
    <t xml:space="preserve"> Tran Kim An </t>
  </si>
  <si>
    <t xml:space="preserve"> Dinh Ngoc Cuong </t>
  </si>
  <si>
    <t xml:space="preserve"> Ngo Duc Phuong </t>
  </si>
  <si>
    <t xml:space="preserve"> Dinh Hong Em </t>
  </si>
  <si>
    <t xml:space="preserve"> Chau Hong Ngoc </t>
  </si>
  <si>
    <t xml:space="preserve"> Truong Kim Kien </t>
  </si>
  <si>
    <t xml:space="preserve"> Tang Thanh Son </t>
  </si>
  <si>
    <t xml:space="preserve"> Bui Thanh Uy </t>
  </si>
  <si>
    <t xml:space="preserve"> Vu Kim Kien </t>
  </si>
  <si>
    <t xml:space="preserve"> Bui Van Ngoc </t>
  </si>
  <si>
    <t xml:space="preserve"> Do Duc Giang </t>
  </si>
  <si>
    <t xml:space="preserve"> Bui Ngoc Uy </t>
  </si>
  <si>
    <t xml:space="preserve"> Tran Ngoc Yen </t>
  </si>
  <si>
    <t xml:space="preserve"> La Kim Phuc </t>
  </si>
  <si>
    <t xml:space="preserve"> Pham Thi An </t>
  </si>
  <si>
    <t xml:space="preserve"> Quach Anh Binh </t>
  </si>
  <si>
    <t xml:space="preserve"> Tran Van Em </t>
  </si>
  <si>
    <t xml:space="preserve"> Bui Anh Uy </t>
  </si>
  <si>
    <t xml:space="preserve"> La Minh Em </t>
  </si>
  <si>
    <t xml:space="preserve"> Duong Kim Son </t>
  </si>
  <si>
    <t xml:space="preserve"> Ly Thi Hanh </t>
  </si>
  <si>
    <t xml:space="preserve"> Ma Kim Minh </t>
  </si>
  <si>
    <t xml:space="preserve"> Ly Hoang Uy </t>
  </si>
  <si>
    <t xml:space="preserve"> Vu Duc Son </t>
  </si>
  <si>
    <t xml:space="preserve"> Hoang Anh Giang </t>
  </si>
  <si>
    <t xml:space="preserve"> Truong Hong Lan </t>
  </si>
  <si>
    <t xml:space="preserve"> Hoang Ngoc Hanh </t>
  </si>
  <si>
    <t xml:space="preserve"> Nguyen Thi Quynh </t>
  </si>
  <si>
    <t xml:space="preserve"> Ngo Duc Cuong </t>
  </si>
  <si>
    <t xml:space="preserve"> Ma Duc Quynh </t>
  </si>
  <si>
    <t xml:space="preserve"> Truong Anh Kien </t>
  </si>
  <si>
    <t xml:space="preserve"> Bui Ngoc Dung </t>
  </si>
  <si>
    <t xml:space="preserve"> Le Ngoc Ngoc </t>
  </si>
  <si>
    <t xml:space="preserve"> Hoang Duc Phuong </t>
  </si>
  <si>
    <t xml:space="preserve"> Dinh Ngoc Giang </t>
  </si>
  <si>
    <t xml:space="preserve"> Ma Hoang Quynh </t>
  </si>
  <si>
    <t xml:space="preserve"> Tran Anh Dung </t>
  </si>
  <si>
    <t xml:space="preserve"> La Minh Xuan </t>
  </si>
  <si>
    <t xml:space="preserve"> To Minh Lan </t>
  </si>
  <si>
    <t xml:space="preserve"> To Ngoc Xuan </t>
  </si>
  <si>
    <t xml:space="preserve"> Nguyen Ngoc Lan </t>
  </si>
  <si>
    <t xml:space="preserve"> Bui Hong Dung </t>
  </si>
  <si>
    <t xml:space="preserve"> Ma Minh Son </t>
  </si>
  <si>
    <t xml:space="preserve"> Cao Kim Yen </t>
  </si>
  <si>
    <t xml:space="preserve"> Tran Thanh Lan </t>
  </si>
  <si>
    <t xml:space="preserve"> Nguyen Hoang Em </t>
  </si>
  <si>
    <t xml:space="preserve"> Vu Minh Van </t>
  </si>
  <si>
    <t xml:space="preserve"> Chau Van Lan </t>
  </si>
  <si>
    <t xml:space="preserve"> Tran Duc Phuc </t>
  </si>
  <si>
    <t xml:space="preserve"> Duong Thanh Em </t>
  </si>
  <si>
    <t xml:space="preserve"> Truong Hong An </t>
  </si>
  <si>
    <t xml:space="preserve"> Truong Anh Yen </t>
  </si>
  <si>
    <t xml:space="preserve"> Bui Hoang Xuan </t>
  </si>
  <si>
    <t xml:space="preserve"> Ly Duc Phuc </t>
  </si>
  <si>
    <t xml:space="preserve"> To Thanh Quynh </t>
  </si>
  <si>
    <t xml:space="preserve"> Duong Kim Van </t>
  </si>
  <si>
    <t xml:space="preserve"> Ngo Hong Binh </t>
  </si>
  <si>
    <t xml:space="preserve"> Dinh Thi Binh </t>
  </si>
  <si>
    <t xml:space="preserve"> Ly Van Phuc </t>
  </si>
  <si>
    <t xml:space="preserve"> Hoang Duc Em </t>
  </si>
  <si>
    <t xml:space="preserve"> Ly Anh Quynh </t>
  </si>
  <si>
    <t xml:space="preserve"> Quach Minh Cuong </t>
  </si>
  <si>
    <t xml:space="preserve"> Tang Hoang Phuong </t>
  </si>
  <si>
    <t xml:space="preserve"> Tang Minh Uy </t>
  </si>
  <si>
    <t xml:space="preserve"> Do Ngoc Minh </t>
  </si>
  <si>
    <t xml:space="preserve"> Chau Hoang Phuc </t>
  </si>
  <si>
    <t xml:space="preserve"> La Hoang Quynh </t>
  </si>
  <si>
    <t xml:space="preserve"> Quach Thanh Phuc </t>
  </si>
  <si>
    <t xml:space="preserve"> Duong Ngoc Van </t>
  </si>
  <si>
    <t xml:space="preserve"> Tang Minh Quynh </t>
  </si>
  <si>
    <t xml:space="preserve"> Tang Van Kien </t>
  </si>
  <si>
    <t xml:space="preserve"> Dinh Thi Kien </t>
  </si>
  <si>
    <t xml:space="preserve"> Dinh Hong Tam </t>
  </si>
  <si>
    <t xml:space="preserve"> Chau Thi An </t>
  </si>
  <si>
    <t xml:space="preserve"> Do Kim Son </t>
  </si>
  <si>
    <t xml:space="preserve"> Pham Van Em </t>
  </si>
  <si>
    <t xml:space="preserve"> Quach Van Minh </t>
  </si>
  <si>
    <t xml:space="preserve"> Vu Ngoc Giang </t>
  </si>
  <si>
    <t xml:space="preserve">DH244 </t>
  </si>
  <si>
    <t xml:space="preserve">DH150 </t>
  </si>
  <si>
    <t xml:space="preserve">DH255 </t>
  </si>
  <si>
    <t xml:space="preserve">DH001 </t>
  </si>
  <si>
    <t xml:space="preserve">DH024 </t>
  </si>
  <si>
    <t xml:space="preserve">DH225 </t>
  </si>
  <si>
    <t xml:space="preserve">DH012 </t>
  </si>
  <si>
    <t xml:space="preserve">DH029 </t>
  </si>
  <si>
    <t xml:space="preserve">DH067 </t>
  </si>
  <si>
    <t xml:space="preserve">DH020 </t>
  </si>
  <si>
    <t xml:space="preserve">DH163 </t>
  </si>
  <si>
    <t xml:space="preserve">DH135 </t>
  </si>
  <si>
    <t xml:space="preserve">DH026 </t>
  </si>
  <si>
    <t xml:space="preserve">DH141 </t>
  </si>
  <si>
    <t xml:space="preserve">DH149 </t>
  </si>
  <si>
    <t xml:space="preserve">DH003 </t>
  </si>
  <si>
    <t xml:space="preserve">DH087 </t>
  </si>
  <si>
    <t xml:space="preserve">DH103 </t>
  </si>
  <si>
    <t xml:space="preserve">DH097 </t>
  </si>
  <si>
    <t xml:space="preserve">DH120 </t>
  </si>
  <si>
    <t xml:space="preserve">DH159 </t>
  </si>
  <si>
    <t xml:space="preserve">DH035 </t>
  </si>
  <si>
    <t xml:space="preserve">DH115 </t>
  </si>
  <si>
    <t xml:space="preserve">DH210 </t>
  </si>
  <si>
    <t xml:space="preserve">DH258 </t>
  </si>
  <si>
    <t xml:space="preserve">DH095 </t>
  </si>
  <si>
    <t xml:space="preserve">DH123 </t>
  </si>
  <si>
    <t xml:space="preserve">DH196 </t>
  </si>
  <si>
    <t xml:space="preserve">DH199 </t>
  </si>
  <si>
    <t xml:space="preserve">DH132 </t>
  </si>
  <si>
    <t xml:space="preserve">DH093 </t>
  </si>
  <si>
    <t xml:space="preserve">DH010 </t>
  </si>
  <si>
    <t xml:space="preserve">DH172 </t>
  </si>
  <si>
    <t xml:space="preserve">DH049 </t>
  </si>
  <si>
    <t xml:space="preserve">DH121 </t>
  </si>
  <si>
    <t xml:space="preserve">DH042 </t>
  </si>
  <si>
    <t xml:space="preserve">DH280 </t>
  </si>
  <si>
    <t xml:space="preserve">DH161 </t>
  </si>
  <si>
    <t xml:space="preserve">DH061 </t>
  </si>
  <si>
    <t xml:space="preserve">DH007 </t>
  </si>
  <si>
    <t xml:space="preserve">DH033 </t>
  </si>
  <si>
    <t xml:space="preserve">DH005 </t>
  </si>
  <si>
    <t xml:space="preserve">DH234 </t>
  </si>
  <si>
    <t xml:space="preserve">DH046 </t>
  </si>
  <si>
    <t xml:space="preserve">DH050 </t>
  </si>
  <si>
    <t xml:space="preserve">DH021 </t>
  </si>
  <si>
    <t xml:space="preserve">DH140 </t>
  </si>
  <si>
    <t xml:space="preserve">DH038 </t>
  </si>
  <si>
    <t xml:space="preserve">DH075 </t>
  </si>
  <si>
    <t xml:space="preserve">DH268 </t>
  </si>
  <si>
    <t xml:space="preserve">DH278 </t>
  </si>
  <si>
    <t xml:space="preserve">DH277 </t>
  </si>
  <si>
    <t xml:space="preserve">DH147 </t>
  </si>
  <si>
    <t xml:space="preserve">DH127 </t>
  </si>
  <si>
    <t xml:space="preserve">DH052 </t>
  </si>
  <si>
    <t xml:space="preserve">DH259 </t>
  </si>
  <si>
    <t xml:space="preserve">DH051 </t>
  </si>
  <si>
    <t xml:space="preserve">DH165 </t>
  </si>
  <si>
    <t xml:space="preserve">DH175 </t>
  </si>
  <si>
    <t xml:space="preserve">DH009 </t>
  </si>
  <si>
    <t xml:space="preserve">DH040 </t>
  </si>
  <si>
    <t xml:space="preserve">DH254 </t>
  </si>
  <si>
    <t xml:space="preserve">DH047 </t>
  </si>
  <si>
    <t xml:space="preserve">DH112 </t>
  </si>
  <si>
    <t xml:space="preserve">DH180 </t>
  </si>
  <si>
    <t xml:space="preserve">DH044 </t>
  </si>
  <si>
    <t xml:space="preserve">DH016 </t>
  </si>
  <si>
    <t xml:space="preserve">DH145 </t>
  </si>
  <si>
    <t xml:space="preserve">DH227 </t>
  </si>
  <si>
    <t xml:space="preserve">DH137 </t>
  </si>
  <si>
    <t xml:space="preserve">DH034 </t>
  </si>
  <si>
    <t xml:space="preserve">DH058 </t>
  </si>
  <si>
    <t xml:space="preserve">DH226 </t>
  </si>
  <si>
    <t xml:space="preserve">DH039 </t>
  </si>
  <si>
    <t xml:space="preserve">DH032 </t>
  </si>
  <si>
    <t xml:space="preserve">DH129 </t>
  </si>
  <si>
    <t xml:space="preserve">DH186 </t>
  </si>
  <si>
    <t xml:space="preserve">DH219 </t>
  </si>
  <si>
    <t xml:space="preserve">DH083 </t>
  </si>
  <si>
    <t xml:space="preserve">DH002 </t>
  </si>
  <si>
    <t xml:space="preserve">DH223 </t>
  </si>
  <si>
    <t xml:space="preserve">DH209 </t>
  </si>
  <si>
    <t xml:space="preserve">DH183 </t>
  </si>
  <si>
    <t xml:space="preserve">DH070 </t>
  </si>
  <si>
    <t xml:space="preserve">DH154 </t>
  </si>
  <si>
    <t xml:space="preserve">DH089 </t>
  </si>
  <si>
    <t xml:space="preserve">DH239 </t>
  </si>
  <si>
    <t xml:space="preserve">DH015 </t>
  </si>
  <si>
    <t xml:space="preserve">DH066 </t>
  </si>
  <si>
    <t xml:space="preserve">DH071 </t>
  </si>
  <si>
    <t xml:space="preserve">DH242 </t>
  </si>
  <si>
    <t xml:space="preserve">DH106 </t>
  </si>
  <si>
    <t xml:space="preserve">DH059 </t>
  </si>
  <si>
    <t xml:space="preserve">DH198 </t>
  </si>
  <si>
    <t xml:space="preserve">DH146 </t>
  </si>
  <si>
    <t xml:space="preserve">DH069 </t>
  </si>
  <si>
    <t xml:space="preserve">DH204 </t>
  </si>
  <si>
    <t xml:space="preserve">DH249 </t>
  </si>
  <si>
    <t xml:space="preserve">DH019 </t>
  </si>
  <si>
    <t xml:space="preserve">DH098 </t>
  </si>
  <si>
    <t xml:space="preserve">DH197 </t>
  </si>
  <si>
    <t xml:space="preserve">DH004 </t>
  </si>
  <si>
    <t xml:space="preserve">DH073 </t>
  </si>
  <si>
    <t xml:space="preserve">DH011 </t>
  </si>
  <si>
    <t xml:space="preserve">DH155 </t>
  </si>
  <si>
    <t xml:space="preserve">DH267 </t>
  </si>
  <si>
    <t xml:space="preserve">DH057 </t>
  </si>
  <si>
    <t xml:space="preserve">DH143 </t>
  </si>
  <si>
    <t xml:space="preserve">DH160 </t>
  </si>
  <si>
    <t xml:space="preserve">DH256 </t>
  </si>
  <si>
    <t xml:space="preserve">DH232 </t>
  </si>
  <si>
    <t xml:space="preserve">DH030 </t>
  </si>
  <si>
    <t xml:space="preserve">DH233 </t>
  </si>
  <si>
    <t xml:space="preserve">DH064 </t>
  </si>
  <si>
    <t xml:space="preserve">DH176 </t>
  </si>
  <si>
    <t xml:space="preserve">DH065 </t>
  </si>
  <si>
    <t xml:space="preserve">DH184 </t>
  </si>
  <si>
    <t xml:space="preserve">DH105 </t>
  </si>
  <si>
    <t xml:space="preserve">DH235 </t>
  </si>
  <si>
    <t xml:space="preserve">DH265 </t>
  </si>
  <si>
    <t xml:space="preserve">DH214 </t>
  </si>
  <si>
    <t xml:space="preserve">DH188 </t>
  </si>
  <si>
    <t xml:space="preserve">DH253 </t>
  </si>
  <si>
    <t xml:space="preserve">DH092 </t>
  </si>
  <si>
    <t xml:space="preserve">DH014 </t>
  </si>
  <si>
    <t xml:space="preserve">DH264 </t>
  </si>
  <si>
    <t xml:space="preserve">DH167 </t>
  </si>
  <si>
    <t xml:space="preserve">DH139 </t>
  </si>
  <si>
    <t xml:space="preserve">DH211 </t>
  </si>
  <si>
    <t xml:space="preserve">DH074 </t>
  </si>
  <si>
    <t xml:space="preserve">DH171 </t>
  </si>
  <si>
    <t xml:space="preserve">DH216 </t>
  </si>
  <si>
    <t xml:space="preserve">DH045 </t>
  </si>
  <si>
    <t xml:space="preserve">DH125 </t>
  </si>
  <si>
    <t xml:space="preserve">DH178 </t>
  </si>
  <si>
    <t xml:space="preserve">DH109 </t>
  </si>
  <si>
    <t xml:space="preserve">DH099 </t>
  </si>
  <si>
    <t xml:space="preserve">DH036 </t>
  </si>
  <si>
    <t xml:space="preserve">DH108 </t>
  </si>
  <si>
    <t xml:space="preserve">DH220 </t>
  </si>
  <si>
    <t xml:space="preserve">DH131 </t>
  </si>
  <si>
    <t xml:space="preserve">DH096 </t>
  </si>
  <si>
    <t xml:space="preserve">DH203 </t>
  </si>
  <si>
    <t xml:space="preserve">DH062 </t>
  </si>
  <si>
    <t xml:space="preserve">DH031 </t>
  </si>
  <si>
    <t xml:space="preserve">DH168 </t>
  </si>
  <si>
    <t xml:space="preserve">DH251 </t>
  </si>
  <si>
    <t xml:space="preserve">DH191 </t>
  </si>
  <si>
    <t xml:space="preserve">DH228 </t>
  </si>
  <si>
    <t xml:space="preserve">DH212 </t>
  </si>
  <si>
    <t xml:space="preserve">DH222 </t>
  </si>
  <si>
    <t xml:space="preserve">DH091 </t>
  </si>
  <si>
    <t xml:space="preserve">DH237 </t>
  </si>
  <si>
    <t xml:space="preserve">DH173 </t>
  </si>
  <si>
    <t xml:space="preserve">DH151 </t>
  </si>
  <si>
    <t xml:space="preserve">DH101 </t>
  </si>
  <si>
    <t xml:space="preserve">DH157 </t>
  </si>
  <si>
    <t xml:space="preserve">DH195 </t>
  </si>
  <si>
    <t xml:space="preserve">DH153 </t>
  </si>
  <si>
    <t xml:space="preserve">DH081 </t>
  </si>
  <si>
    <t xml:space="preserve">DH200 </t>
  </si>
  <si>
    <t xml:space="preserve">DH136 </t>
  </si>
  <si>
    <t xml:space="preserve">DH126 </t>
  </si>
  <si>
    <t xml:space="preserve">DH068 </t>
  </si>
  <si>
    <t xml:space="preserve">DH224 </t>
  </si>
  <si>
    <t xml:space="preserve">DH118 </t>
  </si>
  <si>
    <t xml:space="preserve">DH193 </t>
  </si>
  <si>
    <t xml:space="preserve">DH084 </t>
  </si>
  <si>
    <t xml:space="preserve">DH094 </t>
  </si>
  <si>
    <t xml:space="preserve">DH261 </t>
  </si>
  <si>
    <t xml:space="preserve">DH138 </t>
  </si>
  <si>
    <t xml:space="preserve">DH027 </t>
  </si>
  <si>
    <t xml:space="preserve">DH148 </t>
  </si>
  <si>
    <t xml:space="preserve">DH017 </t>
  </si>
  <si>
    <t xml:space="preserve">DH252 </t>
  </si>
  <si>
    <t xml:space="preserve">DH240 </t>
  </si>
  <si>
    <t xml:space="preserve">DH273 </t>
  </si>
  <si>
    <t xml:space="preserve">DH181 </t>
  </si>
  <si>
    <t xml:space="preserve">DH100 </t>
  </si>
  <si>
    <t xml:space="preserve">DH207 </t>
  </si>
  <si>
    <t xml:space="preserve">DH152 </t>
  </si>
  <si>
    <t xml:space="preserve">DH231 </t>
  </si>
  <si>
    <t xml:space="preserve">DH271 </t>
  </si>
  <si>
    <t xml:space="preserve">DH158 </t>
  </si>
  <si>
    <t xml:space="preserve">DH189 </t>
  </si>
  <si>
    <t xml:space="preserve">DH008 </t>
  </si>
  <si>
    <t xml:space="preserve">DH102 </t>
  </si>
  <si>
    <t xml:space="preserve">DH111 </t>
  </si>
  <si>
    <t xml:space="preserve">DH169 </t>
  </si>
  <si>
    <t xml:space="preserve">DH164 </t>
  </si>
  <si>
    <t xml:space="preserve">DH202 </t>
  </si>
  <si>
    <t xml:space="preserve">DH048 </t>
  </si>
  <si>
    <t xml:space="preserve">DH162 </t>
  </si>
  <si>
    <t xml:space="preserve">DH104 </t>
  </si>
  <si>
    <t xml:space="preserve">DH060 </t>
  </si>
  <si>
    <t xml:space="preserve">DH119 </t>
  </si>
  <si>
    <t xml:space="preserve">DH110 </t>
  </si>
  <si>
    <t xml:space="preserve">DH144 </t>
  </si>
  <si>
    <t xml:space="preserve">DH085 </t>
  </si>
  <si>
    <t xml:space="preserve">DH041 </t>
  </si>
  <si>
    <t xml:space="preserve">DH142 </t>
  </si>
  <si>
    <t xml:space="preserve">DH270 </t>
  </si>
  <si>
    <t xml:space="preserve">DH063 </t>
  </si>
  <si>
    <t xml:space="preserve">DH190 </t>
  </si>
  <si>
    <t xml:space="preserve">DH043 </t>
  </si>
  <si>
    <t xml:space="preserve">DH276 </t>
  </si>
  <si>
    <t xml:space="preserve">DH174 </t>
  </si>
  <si>
    <t xml:space="preserve">DH028 </t>
  </si>
  <si>
    <t xml:space="preserve">DH166 </t>
  </si>
  <si>
    <t xml:space="preserve">DH243 </t>
  </si>
  <si>
    <t xml:space="preserve">DH218 </t>
  </si>
  <si>
    <t xml:space="preserve">DH272 </t>
  </si>
  <si>
    <t xml:space="preserve">DH250 </t>
  </si>
  <si>
    <t xml:space="preserve">DH208 </t>
  </si>
  <si>
    <t xml:space="preserve">DH077 </t>
  </si>
  <si>
    <t xml:space="preserve">DH018 </t>
  </si>
  <si>
    <t xml:space="preserve">DH082 </t>
  </si>
  <si>
    <t xml:space="preserve">DH116 </t>
  </si>
  <si>
    <t xml:space="preserve">DH179 </t>
  </si>
  <si>
    <t xml:space="preserve">DH113 </t>
  </si>
  <si>
    <t xml:space="preserve">DH025 </t>
  </si>
  <si>
    <t xml:space="preserve">DH122 </t>
  </si>
  <si>
    <t xml:space="preserve">DH245 </t>
  </si>
  <si>
    <t xml:space="preserve">DH134 </t>
  </si>
  <si>
    <t xml:space="preserve">DH053 </t>
  </si>
  <si>
    <t xml:space="preserve">DH263 </t>
  </si>
  <si>
    <t xml:space="preserve">DH117 </t>
  </si>
  <si>
    <t xml:space="preserve">DH088 </t>
  </si>
  <si>
    <t xml:space="preserve">DH080 </t>
  </si>
  <si>
    <t xml:space="preserve">DH090 </t>
  </si>
  <si>
    <t xml:space="preserve">DH037 </t>
  </si>
  <si>
    <t xml:space="preserve">DH187 </t>
  </si>
  <si>
    <t xml:space="preserve">DH241 </t>
  </si>
  <si>
    <t xml:space="preserve">DH213 </t>
  </si>
  <si>
    <t xml:space="preserve">DH022 </t>
  </si>
  <si>
    <t xml:space="preserve">DH247 </t>
  </si>
  <si>
    <t xml:space="preserve">DH236 </t>
  </si>
  <si>
    <t xml:space="preserve">DH107 </t>
  </si>
  <si>
    <t xml:space="preserve">DH076 </t>
  </si>
  <si>
    <t xml:space="preserve">DH054 </t>
  </si>
  <si>
    <t xml:space="preserve">DH248 </t>
  </si>
  <si>
    <t xml:space="preserve">DH013 </t>
  </si>
  <si>
    <t xml:space="preserve">DH177 </t>
  </si>
  <si>
    <t xml:space="preserve">DH078 </t>
  </si>
  <si>
    <t xml:space="preserve">DH257 </t>
  </si>
  <si>
    <t xml:space="preserve">DH238 </t>
  </si>
  <si>
    <t xml:space="preserve">DH201 </t>
  </si>
  <si>
    <t xml:space="preserve">DH192 </t>
  </si>
  <si>
    <t xml:space="preserve">DH229 </t>
  </si>
  <si>
    <t xml:space="preserve">DH269 </t>
  </si>
  <si>
    <t xml:space="preserve">DH266 </t>
  </si>
  <si>
    <t xml:space="preserve">DH262 </t>
  </si>
  <si>
    <t xml:space="preserve">DH114 </t>
  </si>
  <si>
    <t xml:space="preserve">DH133 </t>
  </si>
  <si>
    <t xml:space="preserve">DH006 </t>
  </si>
  <si>
    <t xml:space="preserve">DH055 </t>
  </si>
  <si>
    <t xml:space="preserve">DH221 </t>
  </si>
  <si>
    <t xml:space="preserve">DH170 </t>
  </si>
  <si>
    <t xml:space="preserve">DH205 </t>
  </si>
  <si>
    <t xml:space="preserve">DH023 </t>
  </si>
  <si>
    <t xml:space="preserve">DH086 </t>
  </si>
  <si>
    <t xml:space="preserve">DH182 </t>
  </si>
  <si>
    <t xml:space="preserve">DH128 </t>
  </si>
  <si>
    <t xml:space="preserve">DH056 </t>
  </si>
  <si>
    <t xml:space="preserve">DH275 </t>
  </si>
  <si>
    <t xml:space="preserve">DH185 </t>
  </si>
  <si>
    <t xml:space="preserve">DH279 </t>
  </si>
  <si>
    <t xml:space="preserve">DH215 </t>
  </si>
  <si>
    <t xml:space="preserve">DH260 </t>
  </si>
  <si>
    <t xml:space="preserve">DH274 </t>
  </si>
  <si>
    <t xml:space="preserve">DH206 </t>
  </si>
  <si>
    <t xml:space="preserve">DH246 </t>
  </si>
  <si>
    <t xml:space="preserve">DH230 </t>
  </si>
  <si>
    <t xml:space="preserve">DH194 </t>
  </si>
  <si>
    <t xml:space="preserve">DH217 </t>
  </si>
  <si>
    <t xml:space="preserve">DH079 </t>
  </si>
  <si>
    <t xml:space="preserve">DH130 </t>
  </si>
  <si>
    <t xml:space="preserve">DH124 </t>
  </si>
  <si>
    <t xml:space="preserve">DH156 </t>
  </si>
  <si>
    <t xml:space="preserve">DH072 </t>
  </si>
  <si>
    <t>Ma_Don</t>
  </si>
  <si>
    <t>Ten_Khach</t>
  </si>
  <si>
    <t>Doanh_Thu</t>
  </si>
  <si>
    <t xml:space="preserve">Số lượng </t>
  </si>
  <si>
    <t>Giá bán</t>
  </si>
  <si>
    <t>Tuan</t>
  </si>
  <si>
    <t>Thang</t>
  </si>
  <si>
    <t>SDTC</t>
  </si>
  <si>
    <t>Row Labels</t>
  </si>
  <si>
    <t>Grand Total</t>
  </si>
  <si>
    <t>Sum of Doanh_Thu</t>
  </si>
  <si>
    <t xml:space="preserve">Sum of Số lượng </t>
  </si>
  <si>
    <t>KPI 1: Tổng Doanh thu</t>
  </si>
  <si>
    <t>KPI 2: Tổng số đơn hàng</t>
  </si>
  <si>
    <t>KPI 3: Giá trị trung bình đơn hàng</t>
  </si>
  <si>
    <t>KPI 4: Sản phẩm bán chạy nhất</t>
  </si>
  <si>
    <t>DASHBOARD DOANH SỐ MOBILE PLUS - THÁNG 12/2024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</si>
</sst>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0000000000"/>
    <numFmt numFmtId="165" formatCode="_-* #,##0\ &quot;₫&quot;_-;\-* #,##0\ &quot;₫&quot;_-;_-* &quot;-&quot;??\ &quot;₫&quot;_-;_-@_-"/>
  </numFmts>
  <fonts count="5" x14ac:knownFonts="1">
    <font>
      <sz val="11"/>
      <color theme="1"/>
      <name val="Calibri"/>
      <family val="2"/>
      <charset val="163"/>
      <scheme val="minor"/>
    </font>
    <font>
      <sz val="11"/>
      <color theme="1"/>
      <name val="Calibri"/>
      <family val="2"/>
      <charset val="163"/>
      <scheme val="minor"/>
    </font>
    <font>
      <b/>
      <sz val="11"/>
      <color theme="1"/>
      <name val="Calibri"/>
      <family val="2"/>
    </font>
    <font>
      <sz val="11"/>
      <color theme="1"/>
      <name val="Calibri"/>
      <family val="2"/>
    </font>
    <font>
      <sz val="20"/>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style="medium">
        <color rgb="FFCCCCCC"/>
      </left>
      <right style="medium">
        <color rgb="FFCCCCCC"/>
      </right>
      <top style="medium">
        <color rgb="FFCCCCCC"/>
      </top>
      <bottom style="medium">
        <color rgb="FFCCCCCC"/>
      </bottom>
      <diagonal/>
    </border>
    <border>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
      <left/>
      <right/>
      <top/>
      <bottom style="medium">
        <color rgb="FF000000"/>
      </bottom>
      <diagonal/>
    </border>
  </borders>
  <cellStyleXfs count="2">
    <xf numFmtId="0" fontId="0" fillId="0" borderId="0"/>
    <xf numFmtId="44" fontId="1" fillId="0" borderId="0" applyFont="0" applyFill="0" applyBorder="0" applyAlignment="0" applyProtection="0"/>
  </cellStyleXfs>
  <cellXfs count="20">
    <xf numFmtId="0" fontId="0" fillId="0" borderId="0" xfId="0"/>
    <xf numFmtId="0" fontId="3" fillId="0" borderId="1" xfId="0" applyFont="1" applyBorder="1" applyAlignment="1">
      <alignment wrapText="1"/>
    </xf>
    <xf numFmtId="14" fontId="3" fillId="0" borderId="1" xfId="0" applyNumberFormat="1" applyFont="1" applyBorder="1" applyAlignment="1">
      <alignment wrapText="1"/>
    </xf>
    <xf numFmtId="164" fontId="3" fillId="0" borderId="1" xfId="0" applyNumberFormat="1" applyFont="1" applyBorder="1" applyAlignment="1">
      <alignment wrapText="1"/>
    </xf>
    <xf numFmtId="1" fontId="3" fillId="0" borderId="1" xfId="0" applyNumberFormat="1" applyFont="1" applyBorder="1" applyAlignment="1">
      <alignment wrapText="1"/>
    </xf>
    <xf numFmtId="1" fontId="3" fillId="0" borderId="1" xfId="1" applyNumberFormat="1" applyFont="1" applyBorder="1" applyAlignment="1">
      <alignment wrapText="1"/>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3" fillId="0" borderId="4" xfId="0" applyFont="1" applyBorder="1" applyAlignment="1">
      <alignment wrapText="1"/>
    </xf>
    <xf numFmtId="0" fontId="3" fillId="0" borderId="5" xfId="0" applyFont="1" applyBorder="1" applyAlignment="1">
      <alignment wrapText="1"/>
    </xf>
    <xf numFmtId="0" fontId="2" fillId="0" borderId="6" xfId="0" applyFont="1" applyBorder="1" applyAlignment="1">
      <alignment horizontal="center" vertical="top" wrapText="1"/>
    </xf>
    <xf numFmtId="0" fontId="0" fillId="0" borderId="0" xfId="0" pivotButton="1"/>
    <xf numFmtId="0" fontId="0" fillId="0" borderId="0" xfId="0" applyAlignment="1">
      <alignment horizontal="left"/>
    </xf>
    <xf numFmtId="0" fontId="0" fillId="0" borderId="0" xfId="0" applyNumberFormat="1"/>
    <xf numFmtId="44" fontId="0" fillId="0" borderId="0" xfId="0" applyNumberFormat="1"/>
    <xf numFmtId="165" fontId="0" fillId="0" borderId="0" xfId="0" applyNumberFormat="1"/>
    <xf numFmtId="165" fontId="0" fillId="0" borderId="0" xfId="1" applyNumberFormat="1" applyFont="1"/>
    <xf numFmtId="0" fontId="0" fillId="2" borderId="0" xfId="0" applyFill="1"/>
    <xf numFmtId="0" fontId="4" fillId="2" borderId="0" xfId="0" applyFont="1" applyFill="1" applyAlignment="1">
      <alignment horizontal="center" vertical="center"/>
    </xf>
    <xf numFmtId="0" fontId="0" fillId="2" borderId="0" xfId="0" applyFill="1" applyAlignment="1">
      <alignment horizontal="center" vertical="center"/>
    </xf>
  </cellXfs>
  <cellStyles count="2">
    <cellStyle name="Currency" xfId="1" builtinId="4"/>
    <cellStyle name="Normal" xfId="0" builtinId="0"/>
  </cellStyles>
  <dxfs count="20">
    <dxf>
      <font>
        <b val="0"/>
        <i val="0"/>
        <strike val="0"/>
        <condense val="0"/>
        <extend val="0"/>
        <outline val="0"/>
        <shadow val="0"/>
        <u val="none"/>
        <vertAlign val="baseline"/>
        <sz val="11"/>
        <color theme="1"/>
        <name val="Calibri"/>
        <family val="2"/>
        <scheme val="none"/>
      </font>
      <numFmt numFmtId="0" formatCode="Genera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0" formatCode="Genera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9" formatCode="dd/mm/yyyy"/>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 formatCode="0"/>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 formatCode="0"/>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 formatCode="0"/>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64" formatCode="0000000000"/>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top style="medium">
          <color rgb="FF000000"/>
        </top>
        <bottom style="medium">
          <color rgb="FFCCCCCC"/>
        </bottom>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family val="2"/>
        <scheme val="none"/>
      </font>
      <alignment horizontal="center" vertical="top" textRotation="0" wrapText="1" indent="0" justifyLastLine="0" shrinkToFit="0" readingOrder="0"/>
    </dxf>
    <dxf>
      <numFmt numFmtId="165" formatCode="_-* #,##0\ &quot;₫&quot;_-;\-* #,##0\ &quot;₫&quot;_-;_-* &quot;-&quot;??\ &quot;₫&quot;_-;_-@_-"/>
    </dxf>
    <dxf>
      <numFmt numFmtId="165" formatCode="_-* #,##0\ &quot;₫&quot;_-;\-* #,##0\ &quot;₫&quot;_-;_-* &quot;-&quot;??\ &quot;₫&quot;_-;_-@_-"/>
    </dxf>
    <dxf>
      <numFmt numFmtId="165" formatCode="_-* #,##0\ &quot;₫&quot;_-;\-* #,##0\ &quot;₫&quot;_-;_-* &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[BTTH1.xlsx]Sheet2!PivotTable1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sz="1400" b="0" i="0" u="none" strike="noStrike" baseline="0">
                <a:effectLst/>
              </a:rPr>
              <a:t>Doanh thu theo Chi nhánh - Tháng 12/2024</a:t>
            </a:r>
            <a:endParaRPr lang="vi-V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Cau Giay</c:v>
                </c:pt>
                <c:pt idx="1">
                  <c:v>Long Bien</c:v>
                </c:pt>
                <c:pt idx="2">
                  <c:v>Dong Da</c:v>
                </c:pt>
              </c:strCache>
            </c:strRef>
          </c:cat>
          <c:val>
            <c:numRef>
              <c:f>Sheet2!$B$4:$B$7</c:f>
              <c:numCache>
                <c:formatCode>_-* #,##0\ "₫"_-;\-* #,##0\ "₫"_-;_-* "-"??\ "₫"_-;_-@_-</c:formatCode>
                <c:ptCount val="3"/>
                <c:pt idx="0">
                  <c:v>1553930000</c:v>
                </c:pt>
                <c:pt idx="1">
                  <c:v>1392260000</c:v>
                </c:pt>
                <c:pt idx="2">
                  <c:v>1345470000</c:v>
                </c:pt>
              </c:numCache>
            </c:numRef>
          </c:val>
          <c:extLst>
            <c:ext xmlns:c16="http://schemas.microsoft.com/office/drawing/2014/chart" uri="{C3380CC4-5D6E-409C-BE32-E72D297353CC}">
              <c16:uniqueId val="{00000000-0167-4706-8A4D-B60AD4092CCA}"/>
            </c:ext>
          </c:extLst>
        </c:ser>
        <c:dLbls>
          <c:showLegendKey val="0"/>
          <c:showVal val="0"/>
          <c:showCatName val="0"/>
          <c:showSerName val="0"/>
          <c:showPercent val="0"/>
          <c:showBubbleSize val="0"/>
        </c:dLbls>
        <c:gapWidth val="219"/>
        <c:overlap val="-27"/>
        <c:axId val="703471727"/>
        <c:axId val="703470063"/>
      </c:barChart>
      <c:catAx>
        <c:axId val="70347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470063"/>
        <c:crosses val="autoZero"/>
        <c:auto val="1"/>
        <c:lblAlgn val="ctr"/>
        <c:lblOffset val="100"/>
        <c:noMultiLvlLbl val="0"/>
      </c:catAx>
      <c:valAx>
        <c:axId val="703470063"/>
        <c:scaling>
          <c:orientation val="minMax"/>
        </c:scaling>
        <c:delete val="0"/>
        <c:axPos val="l"/>
        <c:majorGridlines>
          <c:spPr>
            <a:ln w="9525" cap="flat" cmpd="sng" algn="ctr">
              <a:solidFill>
                <a:schemeClr val="tx1">
                  <a:lumMod val="15000"/>
                  <a:lumOff val="85000"/>
                </a:schemeClr>
              </a:solidFill>
              <a:round/>
            </a:ln>
            <a:effectLst/>
          </c:spPr>
        </c:majorGridlines>
        <c:numFmt formatCode="_-* #,##0\ &quot;₫&quot;_-;\-* #,##0\ &quot;₫&quot;_-;_-* &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47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[BTTH1.xlsx]Sheet2!PivotTable3</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vi-VN" sz="1800" b="0" i="0" u="none" strike="noStrike" baseline="0">
                <a:effectLst/>
              </a:rPr>
              <a:t>Tỷ trọng Doanh thu theo Danh mục</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Sheet2!$B$29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267-4BA8-B955-A0FC92E372E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267-4BA8-B955-A0FC92E372E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267-4BA8-B955-A0FC92E372E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Sheet2!$A$30:$A$33</c:f>
              <c:strCache>
                <c:ptCount val="3"/>
                <c:pt idx="0">
                  <c:v>Dien thoai</c:v>
                </c:pt>
                <c:pt idx="1">
                  <c:v>May tinh bang</c:v>
                </c:pt>
                <c:pt idx="2">
                  <c:v>Phu kien</c:v>
                </c:pt>
              </c:strCache>
            </c:strRef>
          </c:cat>
          <c:val>
            <c:numRef>
              <c:f>Sheet2!$B$30:$B$33</c:f>
              <c:numCache>
                <c:formatCode>_-* #,##0\ "₫"_-;\-* #,##0\ "₫"_-;_-* "-"??\ "₫"_-;_-@_-</c:formatCode>
                <c:ptCount val="3"/>
                <c:pt idx="0">
                  <c:v>2637160000</c:v>
                </c:pt>
                <c:pt idx="1">
                  <c:v>1136790000</c:v>
                </c:pt>
                <c:pt idx="2">
                  <c:v>517710000</c:v>
                </c:pt>
              </c:numCache>
            </c:numRef>
          </c:val>
          <c:extLst>
            <c:ext xmlns:c16="http://schemas.microsoft.com/office/drawing/2014/chart" uri="{C3380CC4-5D6E-409C-BE32-E72D297353CC}">
              <c16:uniqueId val="{00000000-861E-49AE-8FCE-638A9731EEC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[BTTH1.xlsx]Sheet2!PivotTable4</c:name>
    <c:fmtId val="9"/>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15173884514439"/>
          <c:y val="0.11138263265720214"/>
          <c:w val="0.6572211286089239"/>
          <c:h val="0.73495526276173084"/>
        </c:manualLayout>
      </c:layout>
      <c:lineChart>
        <c:grouping val="stacked"/>
        <c:varyColors val="0"/>
        <c:ser>
          <c:idx val="0"/>
          <c:order val="0"/>
          <c:tx>
            <c:strRef>
              <c:f>Sheet2!$N$3</c:f>
              <c:strCache>
                <c:ptCount val="1"/>
                <c:pt idx="0">
                  <c:v>Sum of Số lượng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Sheet2!$M$4:$M$19</c:f>
              <c:strCache>
                <c:ptCount val="15"/>
                <c:pt idx="0">
                  <c:v>2</c:v>
                </c:pt>
                <c:pt idx="1">
                  <c:v>7</c:v>
                </c:pt>
                <c:pt idx="2">
                  <c:v>11</c:v>
                </c:pt>
                <c:pt idx="3">
                  <c:v>15</c:v>
                </c:pt>
                <c:pt idx="4">
                  <c:v>20</c:v>
                </c:pt>
                <c:pt idx="5">
                  <c:v>28</c:v>
                </c:pt>
                <c:pt idx="6">
                  <c:v>33</c:v>
                </c:pt>
                <c:pt idx="7">
                  <c:v>37</c:v>
                </c:pt>
                <c:pt idx="8">
                  <c:v>41</c:v>
                </c:pt>
                <c:pt idx="9">
                  <c:v>46</c:v>
                </c:pt>
                <c:pt idx="10">
                  <c:v>49</c:v>
                </c:pt>
                <c:pt idx="11">
                  <c:v>50</c:v>
                </c:pt>
                <c:pt idx="12">
                  <c:v>51</c:v>
                </c:pt>
                <c:pt idx="13">
                  <c:v>52</c:v>
                </c:pt>
                <c:pt idx="14">
                  <c:v>53</c:v>
                </c:pt>
              </c:strCache>
            </c:strRef>
          </c:cat>
          <c:val>
            <c:numRef>
              <c:f>Sheet2!$N$4:$N$19</c:f>
              <c:numCache>
                <c:formatCode>General</c:formatCode>
                <c:ptCount val="15"/>
                <c:pt idx="0">
                  <c:v>7</c:v>
                </c:pt>
                <c:pt idx="1">
                  <c:v>20</c:v>
                </c:pt>
                <c:pt idx="2">
                  <c:v>13</c:v>
                </c:pt>
                <c:pt idx="3">
                  <c:v>19</c:v>
                </c:pt>
                <c:pt idx="4">
                  <c:v>15</c:v>
                </c:pt>
                <c:pt idx="5">
                  <c:v>4</c:v>
                </c:pt>
                <c:pt idx="6">
                  <c:v>12</c:v>
                </c:pt>
                <c:pt idx="7">
                  <c:v>11</c:v>
                </c:pt>
                <c:pt idx="8">
                  <c:v>6</c:v>
                </c:pt>
                <c:pt idx="9">
                  <c:v>15</c:v>
                </c:pt>
                <c:pt idx="10">
                  <c:v>59</c:v>
                </c:pt>
                <c:pt idx="11">
                  <c:v>77</c:v>
                </c:pt>
                <c:pt idx="12">
                  <c:v>150</c:v>
                </c:pt>
                <c:pt idx="13">
                  <c:v>143</c:v>
                </c:pt>
                <c:pt idx="14">
                  <c:v>55</c:v>
                </c:pt>
              </c:numCache>
            </c:numRef>
          </c:val>
          <c:smooth val="0"/>
          <c:extLst>
            <c:ext xmlns:c16="http://schemas.microsoft.com/office/drawing/2014/chart" uri="{C3380CC4-5D6E-409C-BE32-E72D297353CC}">
              <c16:uniqueId val="{00000000-A510-4DE6-94D1-0E3EEA2334D7}"/>
            </c:ext>
          </c:extLst>
        </c:ser>
        <c:ser>
          <c:idx val="1"/>
          <c:order val="1"/>
          <c:tx>
            <c:strRef>
              <c:f>Sheet2!$O$3</c:f>
              <c:strCache>
                <c:ptCount val="1"/>
                <c:pt idx="0">
                  <c:v>Sum of Doanh_Thu</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Sheet2!$M$4:$M$19</c:f>
              <c:strCache>
                <c:ptCount val="15"/>
                <c:pt idx="0">
                  <c:v>2</c:v>
                </c:pt>
                <c:pt idx="1">
                  <c:v>7</c:v>
                </c:pt>
                <c:pt idx="2">
                  <c:v>11</c:v>
                </c:pt>
                <c:pt idx="3">
                  <c:v>15</c:v>
                </c:pt>
                <c:pt idx="4">
                  <c:v>20</c:v>
                </c:pt>
                <c:pt idx="5">
                  <c:v>28</c:v>
                </c:pt>
                <c:pt idx="6">
                  <c:v>33</c:v>
                </c:pt>
                <c:pt idx="7">
                  <c:v>37</c:v>
                </c:pt>
                <c:pt idx="8">
                  <c:v>41</c:v>
                </c:pt>
                <c:pt idx="9">
                  <c:v>46</c:v>
                </c:pt>
                <c:pt idx="10">
                  <c:v>49</c:v>
                </c:pt>
                <c:pt idx="11">
                  <c:v>50</c:v>
                </c:pt>
                <c:pt idx="12">
                  <c:v>51</c:v>
                </c:pt>
                <c:pt idx="13">
                  <c:v>52</c:v>
                </c:pt>
                <c:pt idx="14">
                  <c:v>53</c:v>
                </c:pt>
              </c:strCache>
            </c:strRef>
          </c:cat>
          <c:val>
            <c:numRef>
              <c:f>Sheet2!$O$4:$O$19</c:f>
              <c:numCache>
                <c:formatCode>_-* #,##0\ "₫"_-;\-* #,##0\ "₫"_-;_-* "-"??\ "₫"_-;_-@_-</c:formatCode>
                <c:ptCount val="15"/>
                <c:pt idx="0">
                  <c:v>38090000</c:v>
                </c:pt>
                <c:pt idx="1">
                  <c:v>205160000</c:v>
                </c:pt>
                <c:pt idx="2">
                  <c:v>131190000</c:v>
                </c:pt>
                <c:pt idx="3">
                  <c:v>122170000</c:v>
                </c:pt>
                <c:pt idx="4">
                  <c:v>84810000</c:v>
                </c:pt>
                <c:pt idx="5">
                  <c:v>41960000</c:v>
                </c:pt>
                <c:pt idx="6">
                  <c:v>107860000</c:v>
                </c:pt>
                <c:pt idx="7">
                  <c:v>66950000</c:v>
                </c:pt>
                <c:pt idx="8">
                  <c:v>41140000</c:v>
                </c:pt>
                <c:pt idx="9">
                  <c:v>183600000</c:v>
                </c:pt>
                <c:pt idx="10">
                  <c:v>294150000</c:v>
                </c:pt>
                <c:pt idx="11">
                  <c:v>538110000</c:v>
                </c:pt>
                <c:pt idx="12">
                  <c:v>1007250000</c:v>
                </c:pt>
                <c:pt idx="13">
                  <c:v>1048420000</c:v>
                </c:pt>
                <c:pt idx="14">
                  <c:v>380800000</c:v>
                </c:pt>
              </c:numCache>
            </c:numRef>
          </c:val>
          <c:smooth val="0"/>
          <c:extLst>
            <c:ext xmlns:c16="http://schemas.microsoft.com/office/drawing/2014/chart" uri="{C3380CC4-5D6E-409C-BE32-E72D297353CC}">
              <c16:uniqueId val="{00000001-A510-4DE6-94D1-0E3EEA2334D7}"/>
            </c:ext>
          </c:extLst>
        </c:ser>
        <c:dLbls>
          <c:showLegendKey val="0"/>
          <c:showVal val="0"/>
          <c:showCatName val="0"/>
          <c:showSerName val="0"/>
          <c:showPercent val="0"/>
          <c:showBubbleSize val="0"/>
        </c:dLbls>
        <c:marker val="1"/>
        <c:smooth val="0"/>
        <c:axId val="535841439"/>
        <c:axId val="535843935"/>
      </c:lineChart>
      <c:catAx>
        <c:axId val="53584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843935"/>
        <c:crosses val="autoZero"/>
        <c:auto val="1"/>
        <c:lblAlgn val="ctr"/>
        <c:lblOffset val="100"/>
        <c:noMultiLvlLbl val="0"/>
      </c:catAx>
      <c:valAx>
        <c:axId val="535843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841439"/>
        <c:crosses val="autoZero"/>
        <c:crossBetween val="between"/>
      </c:valAx>
      <c:spPr>
        <a:noFill/>
        <a:ln>
          <a:noFill/>
        </a:ln>
        <a:effectLst/>
      </c:spPr>
    </c:plotArea>
    <c:legend>
      <c:legendPos val="r"/>
      <c:layout>
        <c:manualLayout>
          <c:xMode val="edge"/>
          <c:yMode val="edge"/>
          <c:x val="0.81753566578588455"/>
          <c:y val="0.26674203731290347"/>
          <c:w val="0.17124098965743761"/>
          <c:h val="0.323872987160388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[BTTH1.xlsx]Sheet2!PivotTable5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Sheet2!$N$29</c:f>
              <c:strCache>
                <c:ptCount val="1"/>
                <c:pt idx="0">
                  <c:v>Total</c:v>
                </c:pt>
              </c:strCache>
            </c:strRef>
          </c:tx>
          <c:spPr>
            <a:solidFill>
              <a:schemeClr val="accent1"/>
            </a:solidFill>
            <a:ln>
              <a:noFill/>
            </a:ln>
            <a:effectLst/>
          </c:spPr>
          <c:invertIfNegative val="0"/>
          <c:cat>
            <c:strRef>
              <c:f>Sheet2!$M$30:$M$55</c:f>
              <c:strCache>
                <c:ptCount val="25"/>
                <c:pt idx="0">
                  <c:v>Sac du phong 20000mAh</c:v>
                </c:pt>
                <c:pt idx="1">
                  <c:v>Cap sac Type-C</c:v>
                </c:pt>
                <c:pt idx="2">
                  <c:v>Galaxy Buds2 Pro</c:v>
                </c:pt>
                <c:pt idx="3">
                  <c:v>Apple Watch SE</c:v>
                </c:pt>
                <c:pt idx="4">
                  <c:v>Tai nghe co day</c:v>
                </c:pt>
                <c:pt idx="5">
                  <c:v>AirPods 3</c:v>
                </c:pt>
                <c:pt idx="6">
                  <c:v>Cap sac Lightning</c:v>
                </c:pt>
                <c:pt idx="7">
                  <c:v>Lenovo Tab M10</c:v>
                </c:pt>
                <c:pt idx="8">
                  <c:v>Xiaomi 14</c:v>
                </c:pt>
                <c:pt idx="9">
                  <c:v>Sac du phong 10000mAh</c:v>
                </c:pt>
                <c:pt idx="10">
                  <c:v>iPad Gen 10</c:v>
                </c:pt>
                <c:pt idx="11">
                  <c:v>Op lung Samsung</c:v>
                </c:pt>
                <c:pt idx="12">
                  <c:v>Vivo V29</c:v>
                </c:pt>
                <c:pt idx="13">
                  <c:v>Xiaomi Pad 6</c:v>
                </c:pt>
                <c:pt idx="14">
                  <c:v>Tai nghe Bluetooth</c:v>
                </c:pt>
                <c:pt idx="15">
                  <c:v>iPhone 15 Pro Max</c:v>
                </c:pt>
                <c:pt idx="16">
                  <c:v>Samsung Tab A9</c:v>
                </c:pt>
                <c:pt idx="17">
                  <c:v>iPhone 15 Pro</c:v>
                </c:pt>
                <c:pt idx="18">
                  <c:v>Mieng dan man hinh</c:v>
                </c:pt>
                <c:pt idx="19">
                  <c:v>iPhone 15</c:v>
                </c:pt>
                <c:pt idx="20">
                  <c:v>Realme 12 Pro</c:v>
                </c:pt>
                <c:pt idx="21">
                  <c:v>Samsung S24</c:v>
                </c:pt>
                <c:pt idx="22">
                  <c:v>Samsung S24 Ultra</c:v>
                </c:pt>
                <c:pt idx="23">
                  <c:v>iPad Air</c:v>
                </c:pt>
                <c:pt idx="24">
                  <c:v>OPPO Find X6</c:v>
                </c:pt>
              </c:strCache>
            </c:strRef>
          </c:cat>
          <c:val>
            <c:numRef>
              <c:f>Sheet2!$N$30:$N$55</c:f>
              <c:numCache>
                <c:formatCode>General</c:formatCode>
                <c:ptCount val="25"/>
                <c:pt idx="0">
                  <c:v>47</c:v>
                </c:pt>
                <c:pt idx="1">
                  <c:v>45</c:v>
                </c:pt>
                <c:pt idx="2">
                  <c:v>45</c:v>
                </c:pt>
                <c:pt idx="3">
                  <c:v>35</c:v>
                </c:pt>
                <c:pt idx="4">
                  <c:v>33</c:v>
                </c:pt>
                <c:pt idx="5">
                  <c:v>30</c:v>
                </c:pt>
                <c:pt idx="6">
                  <c:v>29</c:v>
                </c:pt>
                <c:pt idx="7">
                  <c:v>27</c:v>
                </c:pt>
                <c:pt idx="8">
                  <c:v>26</c:v>
                </c:pt>
                <c:pt idx="9">
                  <c:v>26</c:v>
                </c:pt>
                <c:pt idx="10">
                  <c:v>26</c:v>
                </c:pt>
                <c:pt idx="11">
                  <c:v>25</c:v>
                </c:pt>
                <c:pt idx="12">
                  <c:v>24</c:v>
                </c:pt>
                <c:pt idx="13">
                  <c:v>23</c:v>
                </c:pt>
                <c:pt idx="14">
                  <c:v>22</c:v>
                </c:pt>
                <c:pt idx="15">
                  <c:v>20</c:v>
                </c:pt>
                <c:pt idx="16">
                  <c:v>18</c:v>
                </c:pt>
                <c:pt idx="17">
                  <c:v>16</c:v>
                </c:pt>
                <c:pt idx="18">
                  <c:v>16</c:v>
                </c:pt>
                <c:pt idx="19">
                  <c:v>15</c:v>
                </c:pt>
                <c:pt idx="20">
                  <c:v>13</c:v>
                </c:pt>
                <c:pt idx="21">
                  <c:v>13</c:v>
                </c:pt>
                <c:pt idx="22">
                  <c:v>13</c:v>
                </c:pt>
                <c:pt idx="23">
                  <c:v>10</c:v>
                </c:pt>
                <c:pt idx="24">
                  <c:v>9</c:v>
                </c:pt>
              </c:numCache>
            </c:numRef>
          </c:val>
          <c:extLst>
            <c:ext xmlns:c16="http://schemas.microsoft.com/office/drawing/2014/chart" uri="{C3380CC4-5D6E-409C-BE32-E72D297353CC}">
              <c16:uniqueId val="{00000000-318B-46F8-AAA2-57A5E3BF8BCB}"/>
            </c:ext>
          </c:extLst>
        </c:ser>
        <c:dLbls>
          <c:showLegendKey val="0"/>
          <c:showVal val="0"/>
          <c:showCatName val="0"/>
          <c:showSerName val="0"/>
          <c:showPercent val="0"/>
          <c:showBubbleSize val="0"/>
        </c:dLbls>
        <c:gapWidth val="182"/>
        <c:axId val="523103199"/>
        <c:axId val="523101951"/>
      </c:barChart>
      <c:catAx>
        <c:axId val="523103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101951"/>
        <c:crosses val="autoZero"/>
        <c:auto val="1"/>
        <c:lblAlgn val="ctr"/>
        <c:lblOffset val="100"/>
        <c:noMultiLvlLbl val="0"/>
      </c:catAx>
      <c:valAx>
        <c:axId val="5231019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10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[BTTH1.xlsx]Sheet2!PivotTable1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sz="1400" b="0" i="0" u="none" strike="noStrike" baseline="0">
                <a:effectLst/>
              </a:rPr>
              <a:t>Doanh thu theo Chi nhánh - Tháng 12/2024</a:t>
            </a:r>
            <a:endParaRPr lang="vi-V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Cau Giay</c:v>
                </c:pt>
                <c:pt idx="1">
                  <c:v>Long Bien</c:v>
                </c:pt>
                <c:pt idx="2">
                  <c:v>Dong Da</c:v>
                </c:pt>
              </c:strCache>
            </c:strRef>
          </c:cat>
          <c:val>
            <c:numRef>
              <c:f>Sheet2!$B$4:$B$7</c:f>
              <c:numCache>
                <c:formatCode>_-* #,##0\ "₫"_-;\-* #,##0\ "₫"_-;_-* "-"??\ "₫"_-;_-@_-</c:formatCode>
                <c:ptCount val="3"/>
                <c:pt idx="0">
                  <c:v>1553930000</c:v>
                </c:pt>
                <c:pt idx="1">
                  <c:v>1392260000</c:v>
                </c:pt>
                <c:pt idx="2">
                  <c:v>1345470000</c:v>
                </c:pt>
              </c:numCache>
            </c:numRef>
          </c:val>
          <c:extLst>
            <c:ext xmlns:c16="http://schemas.microsoft.com/office/drawing/2014/chart" uri="{C3380CC4-5D6E-409C-BE32-E72D297353CC}">
              <c16:uniqueId val="{00000000-300D-41D4-AF66-363D6173C856}"/>
            </c:ext>
          </c:extLst>
        </c:ser>
        <c:dLbls>
          <c:showLegendKey val="0"/>
          <c:showVal val="0"/>
          <c:showCatName val="0"/>
          <c:showSerName val="0"/>
          <c:showPercent val="0"/>
          <c:showBubbleSize val="0"/>
        </c:dLbls>
        <c:gapWidth val="219"/>
        <c:overlap val="-27"/>
        <c:axId val="703471727"/>
        <c:axId val="703470063"/>
      </c:barChart>
      <c:catAx>
        <c:axId val="70347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470063"/>
        <c:crosses val="autoZero"/>
        <c:auto val="1"/>
        <c:lblAlgn val="ctr"/>
        <c:lblOffset val="100"/>
        <c:noMultiLvlLbl val="0"/>
      </c:catAx>
      <c:valAx>
        <c:axId val="703470063"/>
        <c:scaling>
          <c:orientation val="minMax"/>
        </c:scaling>
        <c:delete val="0"/>
        <c:axPos val="l"/>
        <c:majorGridlines>
          <c:spPr>
            <a:ln w="9525" cap="flat" cmpd="sng" algn="ctr">
              <a:solidFill>
                <a:schemeClr val="tx1">
                  <a:lumMod val="15000"/>
                  <a:lumOff val="85000"/>
                </a:schemeClr>
              </a:solidFill>
              <a:round/>
            </a:ln>
            <a:effectLst/>
          </c:spPr>
        </c:majorGridlines>
        <c:numFmt formatCode="_-* #,##0\ &quot;₫&quot;_-;\-* #,##0\ &quot;₫&quot;_-;_-* &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47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[BTTH1.xlsx]Sheet2!PivotTable3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vi-VN" sz="1800" b="0" i="0" u="none" strike="noStrike" baseline="0">
                <a:effectLst/>
              </a:rPr>
              <a:t>Tỷ trọng Doanh thu theo Danh mục</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1934497517329557"/>
          <c:y val="0.38023905393744872"/>
          <c:w val="0.3600468218006076"/>
          <c:h val="0.57924032521431967"/>
        </c:manualLayout>
      </c:layout>
      <c:pieChart>
        <c:varyColors val="1"/>
        <c:ser>
          <c:idx val="0"/>
          <c:order val="0"/>
          <c:tx>
            <c:strRef>
              <c:f>Sheet2!$B$29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9B0-471F-800E-68D6942C8CB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9B0-471F-800E-68D6942C8CB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9B0-471F-800E-68D6942C8CB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Sheet2!$A$30:$A$33</c:f>
              <c:strCache>
                <c:ptCount val="3"/>
                <c:pt idx="0">
                  <c:v>Dien thoai</c:v>
                </c:pt>
                <c:pt idx="1">
                  <c:v>May tinh bang</c:v>
                </c:pt>
                <c:pt idx="2">
                  <c:v>Phu kien</c:v>
                </c:pt>
              </c:strCache>
            </c:strRef>
          </c:cat>
          <c:val>
            <c:numRef>
              <c:f>Sheet2!$B$30:$B$33</c:f>
              <c:numCache>
                <c:formatCode>_-* #,##0\ "₫"_-;\-* #,##0\ "₫"_-;_-* "-"??\ "₫"_-;_-@_-</c:formatCode>
                <c:ptCount val="3"/>
                <c:pt idx="0">
                  <c:v>2637160000</c:v>
                </c:pt>
                <c:pt idx="1">
                  <c:v>1136790000</c:v>
                </c:pt>
                <c:pt idx="2">
                  <c:v>517710000</c:v>
                </c:pt>
              </c:numCache>
            </c:numRef>
          </c:val>
          <c:extLst>
            <c:ext xmlns:c16="http://schemas.microsoft.com/office/drawing/2014/chart" uri="{C3380CC4-5D6E-409C-BE32-E72D297353CC}">
              <c16:uniqueId val="{00000006-59B0-471F-800E-68D6942C8CB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[BTTH1.xlsx]Sheet2!PivotTable4</c:name>
    <c:fmtId val="1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15173884514439"/>
          <c:y val="0.11138263265720214"/>
          <c:w val="0.6572211286089239"/>
          <c:h val="0.73495526276173084"/>
        </c:manualLayout>
      </c:layout>
      <c:lineChart>
        <c:grouping val="stacked"/>
        <c:varyColors val="0"/>
        <c:ser>
          <c:idx val="0"/>
          <c:order val="0"/>
          <c:tx>
            <c:strRef>
              <c:f>Sheet2!$N$3</c:f>
              <c:strCache>
                <c:ptCount val="1"/>
                <c:pt idx="0">
                  <c:v>Sum of Số lượng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Sheet2!$M$4:$M$19</c:f>
              <c:strCache>
                <c:ptCount val="15"/>
                <c:pt idx="0">
                  <c:v>2</c:v>
                </c:pt>
                <c:pt idx="1">
                  <c:v>7</c:v>
                </c:pt>
                <c:pt idx="2">
                  <c:v>11</c:v>
                </c:pt>
                <c:pt idx="3">
                  <c:v>15</c:v>
                </c:pt>
                <c:pt idx="4">
                  <c:v>20</c:v>
                </c:pt>
                <c:pt idx="5">
                  <c:v>28</c:v>
                </c:pt>
                <c:pt idx="6">
                  <c:v>33</c:v>
                </c:pt>
                <c:pt idx="7">
                  <c:v>37</c:v>
                </c:pt>
                <c:pt idx="8">
                  <c:v>41</c:v>
                </c:pt>
                <c:pt idx="9">
                  <c:v>46</c:v>
                </c:pt>
                <c:pt idx="10">
                  <c:v>49</c:v>
                </c:pt>
                <c:pt idx="11">
                  <c:v>50</c:v>
                </c:pt>
                <c:pt idx="12">
                  <c:v>51</c:v>
                </c:pt>
                <c:pt idx="13">
                  <c:v>52</c:v>
                </c:pt>
                <c:pt idx="14">
                  <c:v>53</c:v>
                </c:pt>
              </c:strCache>
            </c:strRef>
          </c:cat>
          <c:val>
            <c:numRef>
              <c:f>Sheet2!$N$4:$N$19</c:f>
              <c:numCache>
                <c:formatCode>General</c:formatCode>
                <c:ptCount val="15"/>
                <c:pt idx="0">
                  <c:v>7</c:v>
                </c:pt>
                <c:pt idx="1">
                  <c:v>20</c:v>
                </c:pt>
                <c:pt idx="2">
                  <c:v>13</c:v>
                </c:pt>
                <c:pt idx="3">
                  <c:v>19</c:v>
                </c:pt>
                <c:pt idx="4">
                  <c:v>15</c:v>
                </c:pt>
                <c:pt idx="5">
                  <c:v>4</c:v>
                </c:pt>
                <c:pt idx="6">
                  <c:v>12</c:v>
                </c:pt>
                <c:pt idx="7">
                  <c:v>11</c:v>
                </c:pt>
                <c:pt idx="8">
                  <c:v>6</c:v>
                </c:pt>
                <c:pt idx="9">
                  <c:v>15</c:v>
                </c:pt>
                <c:pt idx="10">
                  <c:v>59</c:v>
                </c:pt>
                <c:pt idx="11">
                  <c:v>77</c:v>
                </c:pt>
                <c:pt idx="12">
                  <c:v>150</c:v>
                </c:pt>
                <c:pt idx="13">
                  <c:v>143</c:v>
                </c:pt>
                <c:pt idx="14">
                  <c:v>55</c:v>
                </c:pt>
              </c:numCache>
            </c:numRef>
          </c:val>
          <c:smooth val="0"/>
          <c:extLst>
            <c:ext xmlns:c16="http://schemas.microsoft.com/office/drawing/2014/chart" uri="{C3380CC4-5D6E-409C-BE32-E72D297353CC}">
              <c16:uniqueId val="{00000000-9D28-43FE-9F32-ABC1EDB769D6}"/>
            </c:ext>
          </c:extLst>
        </c:ser>
        <c:ser>
          <c:idx val="1"/>
          <c:order val="1"/>
          <c:tx>
            <c:strRef>
              <c:f>Sheet2!$O$3</c:f>
              <c:strCache>
                <c:ptCount val="1"/>
                <c:pt idx="0">
                  <c:v>Sum of Doanh_Thu</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Sheet2!$M$4:$M$19</c:f>
              <c:strCache>
                <c:ptCount val="15"/>
                <c:pt idx="0">
                  <c:v>2</c:v>
                </c:pt>
                <c:pt idx="1">
                  <c:v>7</c:v>
                </c:pt>
                <c:pt idx="2">
                  <c:v>11</c:v>
                </c:pt>
                <c:pt idx="3">
                  <c:v>15</c:v>
                </c:pt>
                <c:pt idx="4">
                  <c:v>20</c:v>
                </c:pt>
                <c:pt idx="5">
                  <c:v>28</c:v>
                </c:pt>
                <c:pt idx="6">
                  <c:v>33</c:v>
                </c:pt>
                <c:pt idx="7">
                  <c:v>37</c:v>
                </c:pt>
                <c:pt idx="8">
                  <c:v>41</c:v>
                </c:pt>
                <c:pt idx="9">
                  <c:v>46</c:v>
                </c:pt>
                <c:pt idx="10">
                  <c:v>49</c:v>
                </c:pt>
                <c:pt idx="11">
                  <c:v>50</c:v>
                </c:pt>
                <c:pt idx="12">
                  <c:v>51</c:v>
                </c:pt>
                <c:pt idx="13">
                  <c:v>52</c:v>
                </c:pt>
                <c:pt idx="14">
                  <c:v>53</c:v>
                </c:pt>
              </c:strCache>
            </c:strRef>
          </c:cat>
          <c:val>
            <c:numRef>
              <c:f>Sheet2!$O$4:$O$19</c:f>
              <c:numCache>
                <c:formatCode>_-* #,##0\ "₫"_-;\-* #,##0\ "₫"_-;_-* "-"??\ "₫"_-;_-@_-</c:formatCode>
                <c:ptCount val="15"/>
                <c:pt idx="0">
                  <c:v>38090000</c:v>
                </c:pt>
                <c:pt idx="1">
                  <c:v>205160000</c:v>
                </c:pt>
                <c:pt idx="2">
                  <c:v>131190000</c:v>
                </c:pt>
                <c:pt idx="3">
                  <c:v>122170000</c:v>
                </c:pt>
                <c:pt idx="4">
                  <c:v>84810000</c:v>
                </c:pt>
                <c:pt idx="5">
                  <c:v>41960000</c:v>
                </c:pt>
                <c:pt idx="6">
                  <c:v>107860000</c:v>
                </c:pt>
                <c:pt idx="7">
                  <c:v>66950000</c:v>
                </c:pt>
                <c:pt idx="8">
                  <c:v>41140000</c:v>
                </c:pt>
                <c:pt idx="9">
                  <c:v>183600000</c:v>
                </c:pt>
                <c:pt idx="10">
                  <c:v>294150000</c:v>
                </c:pt>
                <c:pt idx="11">
                  <c:v>538110000</c:v>
                </c:pt>
                <c:pt idx="12">
                  <c:v>1007250000</c:v>
                </c:pt>
                <c:pt idx="13">
                  <c:v>1048420000</c:v>
                </c:pt>
                <c:pt idx="14">
                  <c:v>380800000</c:v>
                </c:pt>
              </c:numCache>
            </c:numRef>
          </c:val>
          <c:smooth val="0"/>
          <c:extLst>
            <c:ext xmlns:c16="http://schemas.microsoft.com/office/drawing/2014/chart" uri="{C3380CC4-5D6E-409C-BE32-E72D297353CC}">
              <c16:uniqueId val="{00000001-9D28-43FE-9F32-ABC1EDB769D6}"/>
            </c:ext>
          </c:extLst>
        </c:ser>
        <c:dLbls>
          <c:showLegendKey val="0"/>
          <c:showVal val="0"/>
          <c:showCatName val="0"/>
          <c:showSerName val="0"/>
          <c:showPercent val="0"/>
          <c:showBubbleSize val="0"/>
        </c:dLbls>
        <c:marker val="1"/>
        <c:smooth val="0"/>
        <c:axId val="535841439"/>
        <c:axId val="535843935"/>
      </c:lineChart>
      <c:catAx>
        <c:axId val="53584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843935"/>
        <c:crosses val="autoZero"/>
        <c:auto val="1"/>
        <c:lblAlgn val="ctr"/>
        <c:lblOffset val="100"/>
        <c:noMultiLvlLbl val="0"/>
      </c:catAx>
      <c:valAx>
        <c:axId val="535843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841439"/>
        <c:crosses val="autoZero"/>
        <c:crossBetween val="between"/>
      </c:valAx>
      <c:spPr>
        <a:noFill/>
        <a:ln>
          <a:noFill/>
        </a:ln>
        <a:effectLst/>
      </c:spPr>
    </c:plotArea>
    <c:legend>
      <c:legendPos val="r"/>
      <c:layout>
        <c:manualLayout>
          <c:xMode val="edge"/>
          <c:yMode val="edge"/>
          <c:x val="0.81753566578588455"/>
          <c:y val="0.26674203731290347"/>
          <c:w val="0.17124098965743761"/>
          <c:h val="0.323872987160388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[BTTH1.xlsx]Sheet2!PivotTable5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Sheet2!$N$29</c:f>
              <c:strCache>
                <c:ptCount val="1"/>
                <c:pt idx="0">
                  <c:v>Total</c:v>
                </c:pt>
              </c:strCache>
            </c:strRef>
          </c:tx>
          <c:spPr>
            <a:solidFill>
              <a:schemeClr val="accent1"/>
            </a:solidFill>
            <a:ln>
              <a:noFill/>
            </a:ln>
            <a:effectLst/>
          </c:spPr>
          <c:invertIfNegative val="0"/>
          <c:cat>
            <c:strRef>
              <c:f>Sheet2!$M$30:$M$55</c:f>
              <c:strCache>
                <c:ptCount val="25"/>
                <c:pt idx="0">
                  <c:v>Sac du phong 20000mAh</c:v>
                </c:pt>
                <c:pt idx="1">
                  <c:v>Cap sac Type-C</c:v>
                </c:pt>
                <c:pt idx="2">
                  <c:v>Galaxy Buds2 Pro</c:v>
                </c:pt>
                <c:pt idx="3">
                  <c:v>Apple Watch SE</c:v>
                </c:pt>
                <c:pt idx="4">
                  <c:v>Tai nghe co day</c:v>
                </c:pt>
                <c:pt idx="5">
                  <c:v>AirPods 3</c:v>
                </c:pt>
                <c:pt idx="6">
                  <c:v>Cap sac Lightning</c:v>
                </c:pt>
                <c:pt idx="7">
                  <c:v>Lenovo Tab M10</c:v>
                </c:pt>
                <c:pt idx="8">
                  <c:v>Xiaomi 14</c:v>
                </c:pt>
                <c:pt idx="9">
                  <c:v>Sac du phong 10000mAh</c:v>
                </c:pt>
                <c:pt idx="10">
                  <c:v>iPad Gen 10</c:v>
                </c:pt>
                <c:pt idx="11">
                  <c:v>Op lung Samsung</c:v>
                </c:pt>
                <c:pt idx="12">
                  <c:v>Vivo V29</c:v>
                </c:pt>
                <c:pt idx="13">
                  <c:v>Xiaomi Pad 6</c:v>
                </c:pt>
                <c:pt idx="14">
                  <c:v>Tai nghe Bluetooth</c:v>
                </c:pt>
                <c:pt idx="15">
                  <c:v>iPhone 15 Pro Max</c:v>
                </c:pt>
                <c:pt idx="16">
                  <c:v>Samsung Tab A9</c:v>
                </c:pt>
                <c:pt idx="17">
                  <c:v>iPhone 15 Pro</c:v>
                </c:pt>
                <c:pt idx="18">
                  <c:v>Mieng dan man hinh</c:v>
                </c:pt>
                <c:pt idx="19">
                  <c:v>iPhone 15</c:v>
                </c:pt>
                <c:pt idx="20">
                  <c:v>Realme 12 Pro</c:v>
                </c:pt>
                <c:pt idx="21">
                  <c:v>Samsung S24</c:v>
                </c:pt>
                <c:pt idx="22">
                  <c:v>Samsung S24 Ultra</c:v>
                </c:pt>
                <c:pt idx="23">
                  <c:v>iPad Air</c:v>
                </c:pt>
                <c:pt idx="24">
                  <c:v>OPPO Find X6</c:v>
                </c:pt>
              </c:strCache>
            </c:strRef>
          </c:cat>
          <c:val>
            <c:numRef>
              <c:f>Sheet2!$N$30:$N$55</c:f>
              <c:numCache>
                <c:formatCode>General</c:formatCode>
                <c:ptCount val="25"/>
                <c:pt idx="0">
                  <c:v>47</c:v>
                </c:pt>
                <c:pt idx="1">
                  <c:v>45</c:v>
                </c:pt>
                <c:pt idx="2">
                  <c:v>45</c:v>
                </c:pt>
                <c:pt idx="3">
                  <c:v>35</c:v>
                </c:pt>
                <c:pt idx="4">
                  <c:v>33</c:v>
                </c:pt>
                <c:pt idx="5">
                  <c:v>30</c:v>
                </c:pt>
                <c:pt idx="6">
                  <c:v>29</c:v>
                </c:pt>
                <c:pt idx="7">
                  <c:v>27</c:v>
                </c:pt>
                <c:pt idx="8">
                  <c:v>26</c:v>
                </c:pt>
                <c:pt idx="9">
                  <c:v>26</c:v>
                </c:pt>
                <c:pt idx="10">
                  <c:v>26</c:v>
                </c:pt>
                <c:pt idx="11">
                  <c:v>25</c:v>
                </c:pt>
                <c:pt idx="12">
                  <c:v>24</c:v>
                </c:pt>
                <c:pt idx="13">
                  <c:v>23</c:v>
                </c:pt>
                <c:pt idx="14">
                  <c:v>22</c:v>
                </c:pt>
                <c:pt idx="15">
                  <c:v>20</c:v>
                </c:pt>
                <c:pt idx="16">
                  <c:v>18</c:v>
                </c:pt>
                <c:pt idx="17">
                  <c:v>16</c:v>
                </c:pt>
                <c:pt idx="18">
                  <c:v>16</c:v>
                </c:pt>
                <c:pt idx="19">
                  <c:v>15</c:v>
                </c:pt>
                <c:pt idx="20">
                  <c:v>13</c:v>
                </c:pt>
                <c:pt idx="21">
                  <c:v>13</c:v>
                </c:pt>
                <c:pt idx="22">
                  <c:v>13</c:v>
                </c:pt>
                <c:pt idx="23">
                  <c:v>10</c:v>
                </c:pt>
                <c:pt idx="24">
                  <c:v>9</c:v>
                </c:pt>
              </c:numCache>
            </c:numRef>
          </c:val>
          <c:extLst>
            <c:ext xmlns:c16="http://schemas.microsoft.com/office/drawing/2014/chart" uri="{C3380CC4-5D6E-409C-BE32-E72D297353CC}">
              <c16:uniqueId val="{00000000-F2AF-4280-9F82-E5FD5B98E94E}"/>
            </c:ext>
          </c:extLst>
        </c:ser>
        <c:dLbls>
          <c:showLegendKey val="0"/>
          <c:showVal val="0"/>
          <c:showCatName val="0"/>
          <c:showSerName val="0"/>
          <c:showPercent val="0"/>
          <c:showBubbleSize val="0"/>
        </c:dLbls>
        <c:gapWidth val="182"/>
        <c:axId val="523103199"/>
        <c:axId val="523101951"/>
      </c:barChart>
      <c:catAx>
        <c:axId val="523103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101951"/>
        <c:crosses val="autoZero"/>
        <c:auto val="1"/>
        <c:lblAlgn val="ctr"/>
        <c:lblOffset val="100"/>
        <c:noMultiLvlLbl val="0"/>
      </c:catAx>
      <c:valAx>
        <c:axId val="5231019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10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346710</xdr:colOff>
      <xdr:row>0</xdr:row>
      <xdr:rowOff>0</xdr:rowOff>
    </xdr:from>
    <xdr:to>
      <xdr:col>8</xdr:col>
      <xdr:colOff>354330</xdr:colOff>
      <xdr:row>15</xdr:row>
      <xdr:rowOff>114300</xdr:rowOff>
    </xdr:to>
    <xdr:graphicFrame macro="">
      <xdr:nvGraphicFramePr>
        <xdr:cNvPr id="2" name="Chart 1">
          <a:extLst>
            <a:ext uri="{FF2B5EF4-FFF2-40B4-BE49-F238E27FC236}">
              <a16:creationId xmlns:a16="http://schemas.microsoft.com/office/drawing/2014/main" id="{59F03EA9-1E68-4568-9800-5BE1E4E654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468630</xdr:colOff>
      <xdr:row>24</xdr:row>
      <xdr:rowOff>76200</xdr:rowOff>
    </xdr:from>
    <xdr:to>
      <xdr:col>8</xdr:col>
      <xdr:colOff>476250</xdr:colOff>
      <xdr:row>40</xdr:row>
      <xdr:rowOff>15240</xdr:rowOff>
    </xdr:to>
    <xdr:graphicFrame macro="">
      <xdr:nvGraphicFramePr>
        <xdr:cNvPr id="3" name="Chart 2">
          <a:extLst>
            <a:ext uri="{FF2B5EF4-FFF2-40B4-BE49-F238E27FC236}">
              <a16:creationId xmlns:a16="http://schemas.microsoft.com/office/drawing/2014/main" id="{9EFFBDEA-76A9-49B5-8F26-9AE05D93B9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350520</xdr:colOff>
      <xdr:row>1</xdr:row>
      <xdr:rowOff>129540</xdr:rowOff>
    </xdr:from>
    <xdr:to>
      <xdr:col>24</xdr:col>
      <xdr:colOff>411480</xdr:colOff>
      <xdr:row>19</xdr:row>
      <xdr:rowOff>30480</xdr:rowOff>
    </xdr:to>
    <xdr:graphicFrame macro="">
      <xdr:nvGraphicFramePr>
        <xdr:cNvPr id="4" name="Chart 3">
          <a:extLst>
            <a:ext uri="{FF2B5EF4-FFF2-40B4-BE49-F238E27FC236}">
              <a16:creationId xmlns:a16="http://schemas.microsoft.com/office/drawing/2014/main" id="{A8E4FF70-23E1-4801-AAA9-1F974B52AF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11430</xdr:colOff>
      <xdr:row>32</xdr:row>
      <xdr:rowOff>91440</xdr:rowOff>
    </xdr:from>
    <xdr:to>
      <xdr:col>21</xdr:col>
      <xdr:colOff>560070</xdr:colOff>
      <xdr:row>48</xdr:row>
      <xdr:rowOff>30480</xdr:rowOff>
    </xdr:to>
    <xdr:graphicFrame macro="">
      <xdr:nvGraphicFramePr>
        <xdr:cNvPr id="5" name="Chart 4">
          <a:extLst>
            <a:ext uri="{FF2B5EF4-FFF2-40B4-BE49-F238E27FC236}">
              <a16:creationId xmlns:a16="http://schemas.microsoft.com/office/drawing/2014/main" id="{A1BCC066-8CA3-472E-8A90-40611B08AE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28</xdr:col>
      <xdr:colOff>476250</xdr:colOff>
      <xdr:row>41</xdr:row>
      <xdr:rowOff>129540</xdr:rowOff>
    </xdr:from>
    <xdr:to>
      <xdr:col>31</xdr:col>
      <xdr:colOff>304800</xdr:colOff>
      <xdr:row>56</xdr:row>
      <xdr:rowOff>24765</xdr:rowOff>
    </xdr:to>
    <mc:AlternateContent xmlns:mc="http://schemas.openxmlformats.org/markup-compatibility/2006" xmlns:a14="http://schemas.microsoft.com/office/drawing/2010/main">
      <mc:Choice Requires="a14">
        <xdr:graphicFrame macro="">
          <xdr:nvGraphicFramePr>
            <xdr:cNvPr id="6" name="Chi_Nhanh">
              <a:extLst>
                <a:ext uri="{FF2B5EF4-FFF2-40B4-BE49-F238E27FC236}">
                  <a16:creationId xmlns:a16="http://schemas.microsoft.com/office/drawing/2014/main" id="{1061F56F-7F2A-4684-8F5D-6CAF36377924}"/>
                </a:ext>
              </a:extLst>
            </xdr:cNvPr>
            <xdr:cNvGraphicFramePr/>
          </xdr:nvGraphicFramePr>
          <xdr:xfrm>
            <a:off x="0" y="0"/>
            <a:ext cx="0" cy="0"/>
          </xdr:xfrm>
          <a:graphic>
            <a:graphicData uri="http://schemas.microsoft.com/office/drawing/2010/slicer">
              <sle:slicer xmlns:sle="http://schemas.microsoft.com/office/drawing/2010/slicer" name="Chi_Nhanh"/>
            </a:graphicData>
          </a:graphic>
        </xdr:graphicFrame>
      </mc:Choice>
      <mc:Fallback xmlns="">
        <xdr:sp macro="" textlink="">
          <xdr:nvSpPr>
            <xdr:cNvPr id="0" name=""/>
            <xdr:cNvSpPr>
              <a:spLocks noTextEdit="1"/>
            </xdr:cNvSpPr>
          </xdr:nvSpPr>
          <xdr:spPr>
            <a:xfrm>
              <a:off x="23202900" y="7158990"/>
              <a:ext cx="1828800" cy="2466975"/>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308610</xdr:colOff>
      <xdr:row>25</xdr:row>
      <xdr:rowOff>114300</xdr:rowOff>
    </xdr:from>
    <xdr:to>
      <xdr:col>31</xdr:col>
      <xdr:colOff>137160</xdr:colOff>
      <xdr:row>40</xdr:row>
      <xdr:rowOff>9525</xdr:rowOff>
    </xdr:to>
    <mc:AlternateContent xmlns:mc="http://schemas.openxmlformats.org/markup-compatibility/2006" xmlns:a14="http://schemas.microsoft.com/office/drawing/2010/main">
      <mc:Choice Requires="a14">
        <xdr:graphicFrame macro="">
          <xdr:nvGraphicFramePr>
            <xdr:cNvPr id="7" name="Danh_Muc">
              <a:extLst>
                <a:ext uri="{FF2B5EF4-FFF2-40B4-BE49-F238E27FC236}">
                  <a16:creationId xmlns:a16="http://schemas.microsoft.com/office/drawing/2014/main" id="{FEA43030-A8E7-47C5-B0A2-50BFABB7FF99}"/>
                </a:ext>
              </a:extLst>
            </xdr:cNvPr>
            <xdr:cNvGraphicFramePr/>
          </xdr:nvGraphicFramePr>
          <xdr:xfrm>
            <a:off x="0" y="0"/>
            <a:ext cx="0" cy="0"/>
          </xdr:xfrm>
          <a:graphic>
            <a:graphicData uri="http://schemas.microsoft.com/office/drawing/2010/slicer">
              <sle:slicer xmlns:sle="http://schemas.microsoft.com/office/drawing/2010/slicer" name="Danh_Muc"/>
            </a:graphicData>
          </a:graphic>
        </xdr:graphicFrame>
      </mc:Choice>
      <mc:Fallback xmlns="">
        <xdr:sp macro="" textlink="">
          <xdr:nvSpPr>
            <xdr:cNvPr id="0" name=""/>
            <xdr:cNvSpPr>
              <a:spLocks noTextEdit="1"/>
            </xdr:cNvSpPr>
          </xdr:nvSpPr>
          <xdr:spPr>
            <a:xfrm>
              <a:off x="23035260" y="4400550"/>
              <a:ext cx="1828800" cy="2466975"/>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464820</xdr:colOff>
      <xdr:row>3</xdr:row>
      <xdr:rowOff>121920</xdr:rowOff>
    </xdr:from>
    <xdr:to>
      <xdr:col>3</xdr:col>
      <xdr:colOff>381000</xdr:colOff>
      <xdr:row>11</xdr:row>
      <xdr:rowOff>53340</xdr:rowOff>
    </xdr:to>
    <xdr:sp macro="" textlink="">
      <xdr:nvSpPr>
        <xdr:cNvPr id="2" name="Rectangle: Rounded Corners 1">
          <a:extLst>
            <a:ext uri="{FF2B5EF4-FFF2-40B4-BE49-F238E27FC236}">
              <a16:creationId xmlns:a16="http://schemas.microsoft.com/office/drawing/2014/main" id="{146CF61C-6662-4DB6-A864-80B8AB228720}"/>
            </a:ext>
          </a:extLst>
        </xdr:cNvPr>
        <xdr:cNvSpPr/>
      </xdr:nvSpPr>
      <xdr:spPr>
        <a:xfrm>
          <a:off x="1135380" y="647700"/>
          <a:ext cx="1257300" cy="1333500"/>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vi-VN" sz="1100" b="0" i="0">
              <a:solidFill>
                <a:schemeClr val="lt1"/>
              </a:solidFill>
              <a:effectLst/>
              <a:latin typeface="+mn-lt"/>
              <a:ea typeface="+mn-ea"/>
              <a:cs typeface="+mn-cs"/>
            </a:rPr>
            <a:t>Tổng Doanh thu </a:t>
          </a:r>
          <a:r>
            <a:rPr lang="vi-VN" sz="1100" b="0" i="0" u="none" strike="noStrike">
              <a:solidFill>
                <a:schemeClr val="lt1"/>
              </a:solidFill>
              <a:effectLst/>
              <a:latin typeface="+mn-lt"/>
              <a:ea typeface="+mn-ea"/>
              <a:cs typeface="+mn-cs"/>
            </a:rPr>
            <a:t>     </a:t>
          </a:r>
        </a:p>
        <a:p>
          <a:pPr algn="ctr"/>
          <a:endParaRPr lang="vi-VN" sz="1100" b="0" i="0" u="none" strike="noStrike">
            <a:solidFill>
              <a:schemeClr val="lt1"/>
            </a:solidFill>
            <a:effectLst/>
            <a:latin typeface="+mn-lt"/>
            <a:ea typeface="+mn-ea"/>
            <a:cs typeface="+mn-cs"/>
          </a:endParaRPr>
        </a:p>
        <a:p>
          <a:pPr algn="ctr"/>
          <a:endParaRPr lang="vi-VN" sz="1100" b="0" i="0" u="none" strike="noStrike">
            <a:solidFill>
              <a:schemeClr val="lt1"/>
            </a:solidFill>
            <a:effectLst/>
            <a:latin typeface="+mn-lt"/>
            <a:ea typeface="+mn-ea"/>
            <a:cs typeface="+mn-cs"/>
          </a:endParaRPr>
        </a:p>
        <a:p>
          <a:pPr algn="ctr"/>
          <a:r>
            <a:rPr lang="vi-VN" sz="1100" b="0" i="0" u="none" strike="noStrike">
              <a:solidFill>
                <a:schemeClr val="lt1"/>
              </a:solidFill>
              <a:effectLst/>
              <a:latin typeface="+mn-lt"/>
              <a:ea typeface="+mn-ea"/>
              <a:cs typeface="+mn-cs"/>
            </a:rPr>
            <a:t> 4,291,660,000 ₫ </a:t>
          </a:r>
          <a:endParaRPr lang="vi-VN" sz="1100"/>
        </a:p>
      </xdr:txBody>
    </xdr:sp>
    <xdr:clientData/>
  </xdr:twoCellAnchor>
  <xdr:twoCellAnchor>
    <xdr:from>
      <xdr:col>5</xdr:col>
      <xdr:colOff>335280</xdr:colOff>
      <xdr:row>3</xdr:row>
      <xdr:rowOff>114300</xdr:rowOff>
    </xdr:from>
    <xdr:to>
      <xdr:col>7</xdr:col>
      <xdr:colOff>251460</xdr:colOff>
      <xdr:row>11</xdr:row>
      <xdr:rowOff>45720</xdr:rowOff>
    </xdr:to>
    <xdr:sp macro="" textlink="">
      <xdr:nvSpPr>
        <xdr:cNvPr id="6" name="Rectangle: Rounded Corners 5">
          <a:extLst>
            <a:ext uri="{FF2B5EF4-FFF2-40B4-BE49-F238E27FC236}">
              <a16:creationId xmlns:a16="http://schemas.microsoft.com/office/drawing/2014/main" id="{0ED529F1-56E2-41C6-ACA1-875E0CB6EFA0}"/>
            </a:ext>
          </a:extLst>
        </xdr:cNvPr>
        <xdr:cNvSpPr/>
      </xdr:nvSpPr>
      <xdr:spPr>
        <a:xfrm>
          <a:off x="3688080" y="640080"/>
          <a:ext cx="1257300" cy="1333500"/>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vi-VN" sz="1100" b="0" i="0">
              <a:solidFill>
                <a:schemeClr val="lt1"/>
              </a:solidFill>
              <a:effectLst/>
              <a:latin typeface="+mn-lt"/>
              <a:ea typeface="+mn-ea"/>
              <a:cs typeface="+mn-cs"/>
            </a:rPr>
            <a:t>Số đơn hàng</a:t>
          </a:r>
          <a:endParaRPr lang="vi-VN" sz="1100" b="0" i="0" u="none" strike="noStrike">
            <a:solidFill>
              <a:schemeClr val="lt1"/>
            </a:solidFill>
            <a:effectLst/>
            <a:latin typeface="+mn-lt"/>
            <a:ea typeface="+mn-ea"/>
            <a:cs typeface="+mn-cs"/>
          </a:endParaRPr>
        </a:p>
        <a:p>
          <a:pPr algn="ctr"/>
          <a:endParaRPr lang="vi-VN" sz="1100" b="0" i="0" u="none" strike="noStrike">
            <a:solidFill>
              <a:schemeClr val="lt1"/>
            </a:solidFill>
            <a:effectLst/>
            <a:latin typeface="+mn-lt"/>
            <a:ea typeface="+mn-ea"/>
            <a:cs typeface="+mn-cs"/>
          </a:endParaRPr>
        </a:p>
        <a:p>
          <a:pPr algn="ctr"/>
          <a:endParaRPr lang="vi-VN" sz="1100" b="0" i="0" u="none" strike="noStrike">
            <a:solidFill>
              <a:schemeClr val="lt1"/>
            </a:solidFill>
            <a:effectLst/>
            <a:latin typeface="+mn-lt"/>
            <a:ea typeface="+mn-ea"/>
            <a:cs typeface="+mn-cs"/>
          </a:endParaRPr>
        </a:p>
        <a:p>
          <a:pPr algn="ctr"/>
          <a:r>
            <a:rPr lang="vi-VN" sz="1100" b="0" i="0" u="none" strike="noStrike">
              <a:solidFill>
                <a:schemeClr val="lt1"/>
              </a:solidFill>
              <a:effectLst/>
              <a:latin typeface="+mn-lt"/>
              <a:ea typeface="+mn-ea"/>
              <a:cs typeface="+mn-cs"/>
            </a:rPr>
            <a:t>280</a:t>
          </a:r>
          <a:r>
            <a:rPr lang="vi-VN"/>
            <a:t> </a:t>
          </a:r>
          <a:endParaRPr lang="vi-VN" sz="1100"/>
        </a:p>
      </xdr:txBody>
    </xdr:sp>
    <xdr:clientData/>
  </xdr:twoCellAnchor>
  <xdr:twoCellAnchor>
    <xdr:from>
      <xdr:col>9</xdr:col>
      <xdr:colOff>91440</xdr:colOff>
      <xdr:row>3</xdr:row>
      <xdr:rowOff>99060</xdr:rowOff>
    </xdr:from>
    <xdr:to>
      <xdr:col>11</xdr:col>
      <xdr:colOff>7620</xdr:colOff>
      <xdr:row>11</xdr:row>
      <xdr:rowOff>30480</xdr:rowOff>
    </xdr:to>
    <xdr:sp macro="" textlink="">
      <xdr:nvSpPr>
        <xdr:cNvPr id="7" name="Rectangle: Rounded Corners 6">
          <a:extLst>
            <a:ext uri="{FF2B5EF4-FFF2-40B4-BE49-F238E27FC236}">
              <a16:creationId xmlns:a16="http://schemas.microsoft.com/office/drawing/2014/main" id="{65A77DFB-105D-4BB2-A6C4-29786ABB08A8}"/>
            </a:ext>
          </a:extLst>
        </xdr:cNvPr>
        <xdr:cNvSpPr/>
      </xdr:nvSpPr>
      <xdr:spPr>
        <a:xfrm>
          <a:off x="6126480" y="624840"/>
          <a:ext cx="1257300" cy="1333500"/>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vi-VN" sz="1100" b="0" i="0">
              <a:solidFill>
                <a:schemeClr val="lt1"/>
              </a:solidFill>
              <a:effectLst/>
              <a:latin typeface="+mn-lt"/>
              <a:ea typeface="+mn-ea"/>
              <a:cs typeface="+mn-cs"/>
            </a:rPr>
            <a:t>AOV </a:t>
          </a:r>
        </a:p>
        <a:p>
          <a:pPr algn="ctr"/>
          <a:endParaRPr lang="vi-VN" sz="1100" b="0" i="0">
            <a:solidFill>
              <a:schemeClr val="lt1"/>
            </a:solidFill>
            <a:effectLst/>
            <a:latin typeface="+mn-lt"/>
            <a:ea typeface="+mn-ea"/>
            <a:cs typeface="+mn-cs"/>
          </a:endParaRPr>
        </a:p>
        <a:p>
          <a:pPr algn="ctr"/>
          <a:endParaRPr lang="vi-VN" sz="1100" b="0" i="0">
            <a:solidFill>
              <a:schemeClr val="lt1"/>
            </a:solidFill>
            <a:effectLst/>
            <a:latin typeface="+mn-lt"/>
            <a:ea typeface="+mn-ea"/>
            <a:cs typeface="+mn-cs"/>
          </a:endParaRPr>
        </a:p>
        <a:p>
          <a:pPr algn="ctr"/>
          <a:r>
            <a:rPr lang="vi-VN" sz="1100" b="0" i="0" u="none" strike="noStrike">
              <a:solidFill>
                <a:schemeClr val="lt1"/>
              </a:solidFill>
              <a:effectLst/>
              <a:latin typeface="+mn-lt"/>
              <a:ea typeface="+mn-ea"/>
              <a:cs typeface="+mn-cs"/>
            </a:rPr>
            <a:t>      15,327,357.14 ₫ </a:t>
          </a:r>
          <a:endParaRPr lang="vi-VN" sz="1100"/>
        </a:p>
      </xdr:txBody>
    </xdr:sp>
    <xdr:clientData/>
  </xdr:twoCellAnchor>
  <xdr:twoCellAnchor>
    <xdr:from>
      <xdr:col>12</xdr:col>
      <xdr:colOff>426720</xdr:colOff>
      <xdr:row>3</xdr:row>
      <xdr:rowOff>83820</xdr:rowOff>
    </xdr:from>
    <xdr:to>
      <xdr:col>14</xdr:col>
      <xdr:colOff>342900</xdr:colOff>
      <xdr:row>11</xdr:row>
      <xdr:rowOff>15240</xdr:rowOff>
    </xdr:to>
    <xdr:sp macro="" textlink="">
      <xdr:nvSpPr>
        <xdr:cNvPr id="8" name="Rectangle: Rounded Corners 7">
          <a:extLst>
            <a:ext uri="{FF2B5EF4-FFF2-40B4-BE49-F238E27FC236}">
              <a16:creationId xmlns:a16="http://schemas.microsoft.com/office/drawing/2014/main" id="{CA3DFE64-31BA-4D58-8217-ADBC239BF1D0}"/>
            </a:ext>
          </a:extLst>
        </xdr:cNvPr>
        <xdr:cNvSpPr/>
      </xdr:nvSpPr>
      <xdr:spPr>
        <a:xfrm>
          <a:off x="8473440" y="609600"/>
          <a:ext cx="1257300" cy="1333500"/>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vi-VN" sz="1100" b="0" i="0">
              <a:solidFill>
                <a:schemeClr val="lt1"/>
              </a:solidFill>
              <a:effectLst/>
              <a:latin typeface="+mn-lt"/>
              <a:ea typeface="+mn-ea"/>
              <a:cs typeface="+mn-cs"/>
            </a:rPr>
            <a:t>Top sản phẩm </a:t>
          </a:r>
        </a:p>
        <a:p>
          <a:pPr algn="ctr"/>
          <a:endParaRPr lang="vi-VN" sz="1100" b="0" i="0">
            <a:solidFill>
              <a:schemeClr val="lt1"/>
            </a:solidFill>
            <a:effectLst/>
            <a:latin typeface="+mn-lt"/>
            <a:ea typeface="+mn-ea"/>
            <a:cs typeface="+mn-cs"/>
          </a:endParaRPr>
        </a:p>
        <a:p>
          <a:pPr algn="ctr"/>
          <a:endParaRPr lang="vi-VN" sz="1100" b="0" i="0">
            <a:solidFill>
              <a:schemeClr val="lt1"/>
            </a:solidFill>
            <a:effectLst/>
            <a:latin typeface="+mn-lt"/>
            <a:ea typeface="+mn-ea"/>
            <a:cs typeface="+mn-cs"/>
          </a:endParaRPr>
        </a:p>
        <a:p>
          <a:pPr algn="ctr"/>
          <a:endParaRPr lang="vi-VN" sz="1100" b="0" i="0">
            <a:solidFill>
              <a:schemeClr val="lt1"/>
            </a:solidFill>
            <a:effectLst/>
            <a:latin typeface="+mn-lt"/>
            <a:ea typeface="+mn-ea"/>
            <a:cs typeface="+mn-cs"/>
          </a:endParaRPr>
        </a:p>
        <a:p>
          <a:pPr algn="ctr"/>
          <a:r>
            <a:rPr lang="vi-VN" sz="1100" b="0" i="0" u="none" strike="noStrike">
              <a:solidFill>
                <a:schemeClr val="lt1"/>
              </a:solidFill>
              <a:effectLst/>
              <a:latin typeface="+mn-lt"/>
              <a:ea typeface="+mn-ea"/>
              <a:cs typeface="+mn-cs"/>
            </a:rPr>
            <a:t>Sac du phong 20000mAh</a:t>
          </a:r>
          <a:r>
            <a:rPr lang="vi-VN"/>
            <a:t> </a:t>
          </a:r>
          <a:endParaRPr lang="vi-VN" sz="1100"/>
        </a:p>
      </xdr:txBody>
    </xdr:sp>
    <xdr:clientData/>
  </xdr:twoCellAnchor>
  <xdr:twoCellAnchor>
    <xdr:from>
      <xdr:col>0</xdr:col>
      <xdr:colOff>624840</xdr:colOff>
      <xdr:row>13</xdr:row>
      <xdr:rowOff>152400</xdr:rowOff>
    </xdr:from>
    <xdr:to>
      <xdr:col>7</xdr:col>
      <xdr:colOff>468977</xdr:colOff>
      <xdr:row>29</xdr:row>
      <xdr:rowOff>164176</xdr:rowOff>
    </xdr:to>
    <xdr:graphicFrame macro="">
      <xdr:nvGraphicFramePr>
        <xdr:cNvPr id="10" name="Chart 9">
          <a:extLst>
            <a:ext uri="{FF2B5EF4-FFF2-40B4-BE49-F238E27FC236}">
              <a16:creationId xmlns:a16="http://schemas.microsoft.com/office/drawing/2014/main" id="{6C992BD6-989B-4FE8-88CB-EC539E591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655320</xdr:colOff>
      <xdr:row>13</xdr:row>
      <xdr:rowOff>152400</xdr:rowOff>
    </xdr:from>
    <xdr:to>
      <xdr:col>14</xdr:col>
      <xdr:colOff>640080</xdr:colOff>
      <xdr:row>30</xdr:row>
      <xdr:rowOff>22860</xdr:rowOff>
    </xdr:to>
    <xdr:graphicFrame macro="">
      <xdr:nvGraphicFramePr>
        <xdr:cNvPr id="11" name="Chart 10">
          <a:extLst>
            <a:ext uri="{FF2B5EF4-FFF2-40B4-BE49-F238E27FC236}">
              <a16:creationId xmlns:a16="http://schemas.microsoft.com/office/drawing/2014/main" id="{1366BD48-3EB4-45F7-BAA8-3227543FA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655320</xdr:colOff>
      <xdr:row>30</xdr:row>
      <xdr:rowOff>144780</xdr:rowOff>
    </xdr:from>
    <xdr:to>
      <xdr:col>7</xdr:col>
      <xdr:colOff>487680</xdr:colOff>
      <xdr:row>48</xdr:row>
      <xdr:rowOff>53340</xdr:rowOff>
    </xdr:to>
    <xdr:graphicFrame macro="">
      <xdr:nvGraphicFramePr>
        <xdr:cNvPr id="12" name="Chart 11">
          <a:extLst>
            <a:ext uri="{FF2B5EF4-FFF2-40B4-BE49-F238E27FC236}">
              <a16:creationId xmlns:a16="http://schemas.microsoft.com/office/drawing/2014/main" id="{901BE86D-B264-4C04-8BD0-5A85509AA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655320</xdr:colOff>
      <xdr:row>30</xdr:row>
      <xdr:rowOff>144780</xdr:rowOff>
    </xdr:from>
    <xdr:to>
      <xdr:col>14</xdr:col>
      <xdr:colOff>662940</xdr:colOff>
      <xdr:row>48</xdr:row>
      <xdr:rowOff>38100</xdr:rowOff>
    </xdr:to>
    <xdr:graphicFrame macro="">
      <xdr:nvGraphicFramePr>
        <xdr:cNvPr id="13" name="Chart 12">
          <a:extLst>
            <a:ext uri="{FF2B5EF4-FFF2-40B4-BE49-F238E27FC236}">
              <a16:creationId xmlns:a16="http://schemas.microsoft.com/office/drawing/2014/main" id="{563AD0B7-DD66-42F8-A0A1-736298790A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642157</xdr:colOff>
      <xdr:row>27</xdr:row>
      <xdr:rowOff>693</xdr:rowOff>
    </xdr:from>
    <xdr:to>
      <xdr:col>18</xdr:col>
      <xdr:colOff>459278</xdr:colOff>
      <xdr:row>41</xdr:row>
      <xdr:rowOff>14027</xdr:rowOff>
    </xdr:to>
    <mc:AlternateContent xmlns:mc="http://schemas.openxmlformats.org/markup-compatibility/2006" xmlns:a14="http://schemas.microsoft.com/office/drawing/2010/main">
      <mc:Choice Requires="a14">
        <xdr:graphicFrame macro="">
          <xdr:nvGraphicFramePr>
            <xdr:cNvPr id="14" name="Danh_Muc 1">
              <a:extLst>
                <a:ext uri="{FF2B5EF4-FFF2-40B4-BE49-F238E27FC236}">
                  <a16:creationId xmlns:a16="http://schemas.microsoft.com/office/drawing/2014/main" id="{54C9F971-5700-4960-8EF5-7C5C657C3E0D}"/>
                </a:ext>
              </a:extLst>
            </xdr:cNvPr>
            <xdr:cNvGraphicFramePr/>
          </xdr:nvGraphicFramePr>
          <xdr:xfrm>
            <a:off x="0" y="0"/>
            <a:ext cx="0" cy="0"/>
          </xdr:xfrm>
          <a:graphic>
            <a:graphicData uri="http://schemas.microsoft.com/office/drawing/2010/slicer">
              <sle:slicer xmlns:sle="http://schemas.microsoft.com/office/drawing/2010/slicer" name="Danh_Muc 1"/>
            </a:graphicData>
          </a:graphic>
        </xdr:graphicFrame>
      </mc:Choice>
      <mc:Fallback xmlns="">
        <xdr:sp macro="" textlink="">
          <xdr:nvSpPr>
            <xdr:cNvPr id="0" name=""/>
            <xdr:cNvSpPr>
              <a:spLocks noTextEdit="1"/>
            </xdr:cNvSpPr>
          </xdr:nvSpPr>
          <xdr:spPr>
            <a:xfrm>
              <a:off x="10617430" y="4863638"/>
              <a:ext cx="1812175" cy="2534862"/>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12</xdr:row>
      <xdr:rowOff>0</xdr:rowOff>
    </xdr:from>
    <xdr:to>
      <xdr:col>18</xdr:col>
      <xdr:colOff>487680</xdr:colOff>
      <xdr:row>26</xdr:row>
      <xdr:rowOff>13335</xdr:rowOff>
    </xdr:to>
    <mc:AlternateContent xmlns:mc="http://schemas.openxmlformats.org/markup-compatibility/2006" xmlns:a14="http://schemas.microsoft.com/office/drawing/2010/main">
      <mc:Choice Requires="a14">
        <xdr:graphicFrame macro="">
          <xdr:nvGraphicFramePr>
            <xdr:cNvPr id="15" name="Chi_Nhanh 1">
              <a:extLst>
                <a:ext uri="{FF2B5EF4-FFF2-40B4-BE49-F238E27FC236}">
                  <a16:creationId xmlns:a16="http://schemas.microsoft.com/office/drawing/2014/main" id="{5B452AB6-F90D-4A58-85A5-446BCDD7389D}"/>
                </a:ext>
              </a:extLst>
            </xdr:cNvPr>
            <xdr:cNvGraphicFramePr/>
          </xdr:nvGraphicFramePr>
          <xdr:xfrm>
            <a:off x="0" y="0"/>
            <a:ext cx="0" cy="0"/>
          </xdr:xfrm>
          <a:graphic>
            <a:graphicData uri="http://schemas.microsoft.com/office/drawing/2010/slicer">
              <sle:slicer xmlns:sle="http://schemas.microsoft.com/office/drawing/2010/slicer" name="Chi_Nhanh 1"/>
            </a:graphicData>
          </a:graphic>
        </xdr:graphicFrame>
      </mc:Choice>
      <mc:Fallback xmlns="">
        <xdr:sp macro="" textlink="">
          <xdr:nvSpPr>
            <xdr:cNvPr id="0" name=""/>
            <xdr:cNvSpPr>
              <a:spLocks noTextEdit="1"/>
            </xdr:cNvSpPr>
          </xdr:nvSpPr>
          <xdr:spPr>
            <a:xfrm>
              <a:off x="10640291" y="2161309"/>
              <a:ext cx="1817716" cy="2534862"/>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 10" refreshedDate="46050.40177546296" createdVersion="7" refreshedVersion="7" minRefreshableVersion="3" recordCount="280" xr:uid="{8CA95C7F-45D7-4FAE-A48B-286F6F48723C}">
  <cacheSource type="worksheet">
    <worksheetSource name="Table2"/>
  </cacheSource>
  <cacheFields count="12">
    <cacheField name="Ma_Don" numFmtId="0">
      <sharedItems/>
    </cacheField>
    <cacheField name="Ten_Khach" numFmtId="0">
      <sharedItems/>
    </cacheField>
    <cacheField name="SDTColumn2" numFmtId="164">
      <sharedItems containsSemiMixedTypes="0" containsString="0" containsNumber="1" containsInteger="1" minValue="910344303" maxValue="999600766"/>
    </cacheField>
    <cacheField name="Giá bán" numFmtId="1">
      <sharedItems containsSemiMixedTypes="0" containsString="0" containsNumber="1" containsInteger="1" minValue="80000" maxValue="28990000"/>
    </cacheField>
    <cacheField name="Số lượng " numFmtId="1">
      <sharedItems containsSemiMixedTypes="0" containsString="0" containsNumber="1" containsInteger="1" minValue="1" maxValue="5"/>
    </cacheField>
    <cacheField name="Doanh_Thu" numFmtId="1">
      <sharedItems containsSemiMixedTypes="0" containsString="0" containsNumber="1" containsInteger="1" minValue="80000" maxValue="57980000"/>
    </cacheField>
    <cacheField name="Date" numFmtId="14">
      <sharedItems containsSemiMixedTypes="0" containsNonDate="0" containsDate="1" containsString="0" minDate="2024-01-12T00:00:00" maxDate="2025-01-01T00:00:00"/>
    </cacheField>
    <cacheField name="Chi_Nhanh" numFmtId="0">
      <sharedItems count="3">
        <s v="Long Bien"/>
        <s v="Dong Da"/>
        <s v="Cau Giay"/>
      </sharedItems>
    </cacheField>
    <cacheField name="Danh_Muc" numFmtId="0">
      <sharedItems count="3">
        <s v="Dien thoai"/>
        <s v="Phu kien"/>
        <s v="May tinh bang"/>
      </sharedItems>
    </cacheField>
    <cacheField name="Ten_SP" numFmtId="0">
      <sharedItems count="25">
        <s v="Vivo V29"/>
        <s v="Op lung Samsung"/>
        <s v="OPPO Find X6"/>
        <s v="Samsung S24"/>
        <s v="Mieng dan man hinh"/>
        <s v="Xiaomi 14"/>
        <s v="iPhone 15 Pro Max"/>
        <s v="iPad Air"/>
        <s v="iPad Gen 10"/>
        <s v="Lenovo Tab M10"/>
        <s v="Tai nghe co day"/>
        <s v="Sac du phong 20000mAh"/>
        <s v="Galaxy Buds2 Pro"/>
        <s v="Samsung Tab A9"/>
        <s v="Samsung S24 Ultra"/>
        <s v="Cap sac Type-C"/>
        <s v="AirPods 3"/>
        <s v="Apple Watch SE"/>
        <s v="Realme 12 Pro"/>
        <s v="iPhone 15"/>
        <s v="Sac du phong 10000mAh"/>
        <s v="Cap sac Lightning"/>
        <s v="Xiaomi Pad 6"/>
        <s v="Tai nghe Bluetooth"/>
        <s v="iPhone 15 Pro"/>
      </sharedItems>
    </cacheField>
    <cacheField name="Tuan" numFmtId="0">
      <sharedItems containsSemiMixedTypes="0" containsString="0" containsNumber="1" containsInteger="1" minValue="2" maxValue="53" count="15">
        <n v="52"/>
        <n v="49"/>
        <n v="46"/>
        <n v="20"/>
        <n v="33"/>
        <n v="7"/>
        <n v="51"/>
        <n v="2"/>
        <n v="53"/>
        <n v="50"/>
        <n v="41"/>
        <n v="11"/>
        <n v="15"/>
        <n v="37"/>
        <n v="28"/>
      </sharedItems>
    </cacheField>
    <cacheField name="Thang" numFmtId="0">
      <sharedItems containsSemiMixedTypes="0" containsString="0" containsNumber="1" containsInteger="1" minValue="1" maxValue="12"/>
    </cacheField>
  </cacheFields>
  <extLst>
    <ext xmlns:x14="http://schemas.microsoft.com/office/spreadsheetml/2009/9/main" uri="{725AE2AE-9491-48be-B2B4-4EB974FC3084}">
      <x14:pivotCacheDefinition pivotCacheId="15077406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
  <r>
    <s v="DH244 "/>
    <s v=" Tran Minh Uy "/>
    <n v="948824283"/>
    <n v="9990000"/>
    <n v="2"/>
    <n v="19980000"/>
    <d v="2024-12-27T00:00:00"/>
    <x v="0"/>
    <x v="0"/>
    <x v="0"/>
    <x v="0"/>
    <n v="12"/>
  </r>
  <r>
    <s v="DH150 "/>
    <s v=" Quach Thanh Minh "/>
    <n v="930261159"/>
    <n v="350000"/>
    <n v="4"/>
    <n v="1400000"/>
    <d v="2024-12-03T00:00:00"/>
    <x v="1"/>
    <x v="1"/>
    <x v="1"/>
    <x v="1"/>
    <n v="12"/>
  </r>
  <r>
    <s v="DH255 "/>
    <s v=" Tang Kim Lan "/>
    <n v="930456313"/>
    <n v="18990000"/>
    <n v="2"/>
    <n v="37980000"/>
    <d v="2024-11-12T00:00:00"/>
    <x v="1"/>
    <x v="0"/>
    <x v="2"/>
    <x v="2"/>
    <n v="11"/>
  </r>
  <r>
    <s v="DH001 "/>
    <s v=" Pham Van Kien "/>
    <n v="942868828"/>
    <n v="9990000"/>
    <n v="1"/>
    <n v="9990000"/>
    <d v="2024-05-12T00:00:00"/>
    <x v="0"/>
    <x v="0"/>
    <x v="0"/>
    <x v="3"/>
    <n v="5"/>
  </r>
  <r>
    <s v="DH024 "/>
    <s v=" Pham Van Phuc "/>
    <n v="955540424"/>
    <n v="18990000"/>
    <n v="1"/>
    <n v="18990000"/>
    <d v="2024-08-12T00:00:00"/>
    <x v="1"/>
    <x v="0"/>
    <x v="3"/>
    <x v="4"/>
    <n v="8"/>
  </r>
  <r>
    <s v="DH225 "/>
    <s v=" Tran Van Lan "/>
    <n v="986230551"/>
    <n v="80000"/>
    <n v="3"/>
    <n v="240000"/>
    <d v="2024-12-04T00:00:00"/>
    <x v="0"/>
    <x v="1"/>
    <x v="4"/>
    <x v="1"/>
    <n v="12"/>
  </r>
  <r>
    <s v="DH012 "/>
    <s v=" Duong Ngoc Cuong "/>
    <n v="916323852"/>
    <n v="18990000"/>
    <n v="1"/>
    <n v="18990000"/>
    <d v="2024-05-12T00:00:00"/>
    <x v="2"/>
    <x v="0"/>
    <x v="3"/>
    <x v="3"/>
    <n v="5"/>
  </r>
  <r>
    <s v="DH029 "/>
    <s v=" Tang Ngoc Uy "/>
    <n v="981286543"/>
    <n v="15990000"/>
    <n v="1"/>
    <n v="15990000"/>
    <d v="2024-02-12T00:00:00"/>
    <x v="2"/>
    <x v="0"/>
    <x v="5"/>
    <x v="5"/>
    <n v="2"/>
  </r>
  <r>
    <s v="DH067 "/>
    <s v=" Tang Kim Phuc "/>
    <n v="936619372"/>
    <n v="28990000"/>
    <n v="1"/>
    <n v="28990000"/>
    <d v="2024-12-19T00:00:00"/>
    <x v="1"/>
    <x v="0"/>
    <x v="6"/>
    <x v="6"/>
    <n v="12"/>
  </r>
  <r>
    <s v="DH020 "/>
    <s v=" Pham Hong Hanh "/>
    <n v="918593410"/>
    <n v="18490000"/>
    <n v="1"/>
    <n v="18490000"/>
    <d v="2024-01-12T00:00:00"/>
    <x v="2"/>
    <x v="2"/>
    <x v="7"/>
    <x v="7"/>
    <n v="1"/>
  </r>
  <r>
    <s v="DH163 "/>
    <s v=" Ma Hong Van "/>
    <n v="942100652"/>
    <n v="12500000"/>
    <n v="1"/>
    <n v="12500000"/>
    <d v="2024-12-31T00:00:00"/>
    <x v="0"/>
    <x v="2"/>
    <x v="8"/>
    <x v="8"/>
    <n v="12"/>
  </r>
  <r>
    <s v="DH135 "/>
    <s v=" Ngo Kim Van "/>
    <n v="993446356"/>
    <n v="80000"/>
    <n v="5"/>
    <n v="400000"/>
    <d v="2024-12-22T00:00:00"/>
    <x v="0"/>
    <x v="1"/>
    <x v="4"/>
    <x v="0"/>
    <n v="12"/>
  </r>
  <r>
    <s v="DH026 "/>
    <s v=" Nguyen Thi Hanh "/>
    <n v="932321899"/>
    <n v="8900000"/>
    <n v="1"/>
    <n v="8900000"/>
    <d v="2024-12-16T00:00:00"/>
    <x v="2"/>
    <x v="2"/>
    <x v="9"/>
    <x v="6"/>
    <n v="12"/>
  </r>
  <r>
    <s v="DH141 "/>
    <s v=" Tang Ngoc Uy "/>
    <n v="999541016"/>
    <n v="12500000"/>
    <n v="2"/>
    <n v="25000000"/>
    <d v="2024-02-12T00:00:00"/>
    <x v="2"/>
    <x v="2"/>
    <x v="8"/>
    <x v="5"/>
    <n v="2"/>
  </r>
  <r>
    <s v="DH149 "/>
    <s v=" Le Minh Tam "/>
    <n v="972270726"/>
    <n v="190000"/>
    <n v="4"/>
    <n v="760000"/>
    <d v="2024-12-19T00:00:00"/>
    <x v="0"/>
    <x v="1"/>
    <x v="10"/>
    <x v="6"/>
    <n v="12"/>
  </r>
  <r>
    <s v="DH003 "/>
    <s v=" Do Hoang Quynh "/>
    <n v="939587039"/>
    <n v="350000"/>
    <n v="1"/>
    <n v="350000"/>
    <d v="2024-12-19T00:00:00"/>
    <x v="1"/>
    <x v="1"/>
    <x v="1"/>
    <x v="6"/>
    <n v="12"/>
  </r>
  <r>
    <s v="DH087 "/>
    <s v=" Dinh Kim Kien "/>
    <n v="977172238"/>
    <n v="450000"/>
    <n v="1"/>
    <n v="450000"/>
    <d v="2024-12-16T00:00:00"/>
    <x v="1"/>
    <x v="1"/>
    <x v="11"/>
    <x v="6"/>
    <n v="12"/>
  </r>
  <r>
    <s v="DH103 "/>
    <s v=" La Van Yen "/>
    <n v="919183277"/>
    <n v="9990000"/>
    <n v="2"/>
    <n v="19980000"/>
    <d v="2024-12-21T00:00:00"/>
    <x v="1"/>
    <x v="0"/>
    <x v="0"/>
    <x v="6"/>
    <n v="12"/>
  </r>
  <r>
    <s v="DH097 "/>
    <s v=" Truong Hoang Kien "/>
    <n v="910344303"/>
    <n v="12500000"/>
    <n v="2"/>
    <n v="25000000"/>
    <d v="2024-12-24T00:00:00"/>
    <x v="1"/>
    <x v="2"/>
    <x v="8"/>
    <x v="0"/>
    <n v="12"/>
  </r>
  <r>
    <s v="DH120 "/>
    <s v=" Ma Hong Ngoc "/>
    <n v="923335151"/>
    <n v="2990000"/>
    <n v="3"/>
    <n v="8970000"/>
    <d v="2024-12-12T00:00:00"/>
    <x v="2"/>
    <x v="1"/>
    <x v="12"/>
    <x v="9"/>
    <n v="12"/>
  </r>
  <r>
    <s v="DH159 "/>
    <s v=" Duong Thi Quynh "/>
    <n v="978248169"/>
    <n v="9990000"/>
    <n v="2"/>
    <n v="19980000"/>
    <d v="2024-12-01T00:00:00"/>
    <x v="1"/>
    <x v="2"/>
    <x v="13"/>
    <x v="1"/>
    <n v="12"/>
  </r>
  <r>
    <s v="DH035 "/>
    <s v=" Bui Thi Dung "/>
    <n v="984252420"/>
    <n v="25990000"/>
    <n v="1"/>
    <n v="25990000"/>
    <d v="2024-12-09T00:00:00"/>
    <x v="0"/>
    <x v="0"/>
    <x v="14"/>
    <x v="9"/>
    <n v="12"/>
  </r>
  <r>
    <s v="DH115 "/>
    <s v=" Nguyen Duc Van "/>
    <n v="926587799"/>
    <n v="350000"/>
    <n v="3"/>
    <n v="1050000"/>
    <d v="2024-12-12T00:00:00"/>
    <x v="0"/>
    <x v="1"/>
    <x v="1"/>
    <x v="9"/>
    <n v="12"/>
  </r>
  <r>
    <s v="DH210 "/>
    <s v=" La Ngoc Xuan "/>
    <n v="950237208"/>
    <n v="150000"/>
    <n v="3"/>
    <n v="450000"/>
    <d v="2024-12-27T00:00:00"/>
    <x v="1"/>
    <x v="1"/>
    <x v="15"/>
    <x v="0"/>
    <n v="12"/>
  </r>
  <r>
    <s v="DH258 "/>
    <s v=" Tran Van Quynh "/>
    <n v="928453800"/>
    <n v="3990000"/>
    <n v="2"/>
    <n v="7980000"/>
    <d v="2024-08-12T00:00:00"/>
    <x v="1"/>
    <x v="1"/>
    <x v="16"/>
    <x v="4"/>
    <n v="8"/>
  </r>
  <r>
    <s v="DH095 "/>
    <s v=" Ma Thi Em "/>
    <n v="976890827"/>
    <n v="5290000"/>
    <n v="3"/>
    <n v="15870000"/>
    <d v="2024-10-12T00:00:00"/>
    <x v="1"/>
    <x v="1"/>
    <x v="17"/>
    <x v="10"/>
    <n v="10"/>
  </r>
  <r>
    <s v="DH123 "/>
    <s v=" Truong Minh Yen "/>
    <n v="910380581"/>
    <n v="6990000"/>
    <n v="1"/>
    <n v="6990000"/>
    <d v="2024-12-28T00:00:00"/>
    <x v="2"/>
    <x v="0"/>
    <x v="18"/>
    <x v="0"/>
    <n v="12"/>
  </r>
  <r>
    <s v="DH196 "/>
    <s v=" Quach Thanh Xuan "/>
    <n v="915529005"/>
    <n v="12500000"/>
    <n v="2"/>
    <n v="25000000"/>
    <d v="2024-03-12T00:00:00"/>
    <x v="0"/>
    <x v="0"/>
    <x v="19"/>
    <x v="11"/>
    <n v="3"/>
  </r>
  <r>
    <s v="DH199 "/>
    <s v=" Truong Anh Em "/>
    <n v="951954112"/>
    <n v="5290000"/>
    <n v="3"/>
    <n v="15870000"/>
    <d v="2024-11-12T00:00:00"/>
    <x v="1"/>
    <x v="1"/>
    <x v="17"/>
    <x v="2"/>
    <n v="11"/>
  </r>
  <r>
    <s v="DH132 "/>
    <s v=" To Thi Ngoc "/>
    <n v="927463800"/>
    <n v="450000"/>
    <n v="5"/>
    <n v="2250000"/>
    <d v="2024-02-12T00:00:00"/>
    <x v="2"/>
    <x v="1"/>
    <x v="11"/>
    <x v="5"/>
    <n v="2"/>
  </r>
  <r>
    <s v="DH093 "/>
    <s v=" Ma Van Giang "/>
    <n v="945843681"/>
    <n v="450000"/>
    <n v="4"/>
    <n v="1800000"/>
    <d v="2024-12-05T00:00:00"/>
    <x v="2"/>
    <x v="1"/>
    <x v="11"/>
    <x v="1"/>
    <n v="12"/>
  </r>
  <r>
    <s v="DH010 "/>
    <s v=" Tang Thanh Giang "/>
    <n v="997971488"/>
    <n v="150000"/>
    <n v="4"/>
    <n v="600000"/>
    <d v="2024-12-13T00:00:00"/>
    <x v="2"/>
    <x v="1"/>
    <x v="15"/>
    <x v="9"/>
    <n v="12"/>
  </r>
  <r>
    <s v="DH172 "/>
    <s v=" Ly Hong Xuan "/>
    <n v="965910756"/>
    <n v="15990000"/>
    <n v="1"/>
    <n v="15990000"/>
    <d v="2024-12-22T00:00:00"/>
    <x v="2"/>
    <x v="0"/>
    <x v="5"/>
    <x v="0"/>
    <n v="12"/>
  </r>
  <r>
    <s v="DH049 "/>
    <s v=" Tang Anh Minh "/>
    <n v="972409658"/>
    <n v="350000"/>
    <n v="2"/>
    <n v="700000"/>
    <d v="2024-12-15T00:00:00"/>
    <x v="0"/>
    <x v="1"/>
    <x v="1"/>
    <x v="6"/>
    <n v="12"/>
  </r>
  <r>
    <s v="DH121 "/>
    <s v=" Pham Ngoc Cuong "/>
    <n v="998955314"/>
    <n v="18990000"/>
    <n v="1"/>
    <n v="18990000"/>
    <d v="2024-12-21T00:00:00"/>
    <x v="2"/>
    <x v="0"/>
    <x v="2"/>
    <x v="6"/>
    <n v="12"/>
  </r>
  <r>
    <s v="DH042 "/>
    <s v=" Ly Duc Hanh "/>
    <n v="939920292"/>
    <n v="12500000"/>
    <n v="2"/>
    <n v="25000000"/>
    <d v="2024-12-22T00:00:00"/>
    <x v="2"/>
    <x v="0"/>
    <x v="19"/>
    <x v="0"/>
    <n v="12"/>
  </r>
  <r>
    <s v="DH280 "/>
    <s v=" Tang Hong Minh "/>
    <n v="960473288"/>
    <n v="6990000"/>
    <n v="2"/>
    <n v="13980000"/>
    <d v="2024-12-27T00:00:00"/>
    <x v="2"/>
    <x v="0"/>
    <x v="18"/>
    <x v="0"/>
    <n v="12"/>
  </r>
  <r>
    <s v="DH161 "/>
    <s v=" Duong Van Minh "/>
    <n v="992950779"/>
    <n v="25990000"/>
    <n v="1"/>
    <n v="25990000"/>
    <d v="2024-12-20T00:00:00"/>
    <x v="0"/>
    <x v="0"/>
    <x v="14"/>
    <x v="6"/>
    <n v="12"/>
  </r>
  <r>
    <s v="DH061 "/>
    <s v=" Cao Minh Son "/>
    <n v="927129912"/>
    <n v="80000"/>
    <n v="4"/>
    <n v="320000"/>
    <d v="2024-12-18T00:00:00"/>
    <x v="2"/>
    <x v="1"/>
    <x v="4"/>
    <x v="6"/>
    <n v="12"/>
  </r>
  <r>
    <s v="DH007 "/>
    <s v=" Pham Kim Kien "/>
    <n v="970855700"/>
    <n v="3990000"/>
    <n v="2"/>
    <n v="7980000"/>
    <d v="2024-12-27T00:00:00"/>
    <x v="0"/>
    <x v="1"/>
    <x v="16"/>
    <x v="0"/>
    <n v="12"/>
  </r>
  <r>
    <s v="DH033 "/>
    <s v=" Bui Minh Ngoc "/>
    <n v="919233013"/>
    <n v="9990000"/>
    <n v="1"/>
    <n v="9990000"/>
    <d v="2024-12-12T00:00:00"/>
    <x v="0"/>
    <x v="0"/>
    <x v="0"/>
    <x v="9"/>
    <n v="12"/>
  </r>
  <r>
    <s v="DH005 "/>
    <s v=" Bui Van Son "/>
    <n v="981971316"/>
    <n v="18990000"/>
    <n v="1"/>
    <n v="18990000"/>
    <d v="2024-12-30T00:00:00"/>
    <x v="0"/>
    <x v="0"/>
    <x v="3"/>
    <x v="8"/>
    <n v="12"/>
  </r>
  <r>
    <s v="DH234 "/>
    <s v=" Tran Hoang Uy "/>
    <n v="937133023"/>
    <n v="280000"/>
    <n v="2"/>
    <n v="560000"/>
    <d v="2024-12-18T00:00:00"/>
    <x v="1"/>
    <x v="1"/>
    <x v="20"/>
    <x v="6"/>
    <n v="12"/>
  </r>
  <r>
    <s v="DH046 "/>
    <s v=" La Hong Ngoc "/>
    <n v="967887757"/>
    <n v="28990000"/>
    <n v="2"/>
    <n v="57980000"/>
    <d v="2024-12-31T00:00:00"/>
    <x v="2"/>
    <x v="0"/>
    <x v="6"/>
    <x v="8"/>
    <n v="12"/>
  </r>
  <r>
    <s v="DH050 "/>
    <s v=" Vu Thi Lan "/>
    <n v="979182797"/>
    <n v="2990000"/>
    <n v="3"/>
    <n v="8970000"/>
    <d v="2024-12-21T00:00:00"/>
    <x v="2"/>
    <x v="1"/>
    <x v="12"/>
    <x v="6"/>
    <n v="12"/>
  </r>
  <r>
    <s v="DH021 "/>
    <s v=" Tran Hong Cuong "/>
    <n v="914216175"/>
    <n v="18490000"/>
    <n v="1"/>
    <n v="18490000"/>
    <d v="2024-03-12T00:00:00"/>
    <x v="2"/>
    <x v="2"/>
    <x v="7"/>
    <x v="11"/>
    <n v="3"/>
  </r>
  <r>
    <s v="DH140 "/>
    <s v=" Ma Kim Kien "/>
    <n v="938933176"/>
    <n v="190000"/>
    <n v="3"/>
    <n v="570000"/>
    <d v="2024-12-17T00:00:00"/>
    <x v="0"/>
    <x v="1"/>
    <x v="10"/>
    <x v="6"/>
    <n v="12"/>
  </r>
  <r>
    <s v="DH038 "/>
    <s v=" Hoang Hoang Binh "/>
    <n v="959555330"/>
    <n v="280000"/>
    <n v="4"/>
    <n v="1120000"/>
    <d v="2024-12-18T00:00:00"/>
    <x v="1"/>
    <x v="1"/>
    <x v="20"/>
    <x v="6"/>
    <n v="12"/>
  </r>
  <r>
    <s v="DH075 "/>
    <s v=" La Hoang Ngoc "/>
    <n v="967110154"/>
    <n v="250000"/>
    <n v="3"/>
    <n v="750000"/>
    <d v="2024-12-18T00:00:00"/>
    <x v="1"/>
    <x v="1"/>
    <x v="21"/>
    <x v="6"/>
    <n v="12"/>
  </r>
  <r>
    <s v="DH268 "/>
    <s v=" Cao Minh Cuong "/>
    <n v="977215278"/>
    <n v="250000"/>
    <n v="1"/>
    <n v="250000"/>
    <d v="2024-12-12T00:00:00"/>
    <x v="2"/>
    <x v="1"/>
    <x v="21"/>
    <x v="9"/>
    <n v="12"/>
  </r>
  <r>
    <s v="DH278 "/>
    <s v=" Quach Kim Minh "/>
    <n v="969085720"/>
    <n v="18490000"/>
    <n v="1"/>
    <n v="18490000"/>
    <d v="2024-12-14T00:00:00"/>
    <x v="0"/>
    <x v="2"/>
    <x v="7"/>
    <x v="9"/>
    <n v="12"/>
  </r>
  <r>
    <s v="DH277 "/>
    <s v=" Chau Anh Yen "/>
    <n v="936246038"/>
    <n v="350000"/>
    <n v="3"/>
    <n v="1050000"/>
    <d v="2024-04-12T00:00:00"/>
    <x v="1"/>
    <x v="1"/>
    <x v="1"/>
    <x v="12"/>
    <n v="4"/>
  </r>
  <r>
    <s v="DH147 "/>
    <s v=" Truong Hong Minh "/>
    <n v="932566390"/>
    <n v="28990000"/>
    <n v="1"/>
    <n v="28990000"/>
    <d v="2024-12-17T00:00:00"/>
    <x v="1"/>
    <x v="0"/>
    <x v="6"/>
    <x v="6"/>
    <n v="12"/>
  </r>
  <r>
    <s v="DH127 "/>
    <s v=" Tran Ngoc Phuc "/>
    <n v="967213476"/>
    <n v="2990000"/>
    <n v="4"/>
    <n v="11960000"/>
    <d v="2024-12-04T00:00:00"/>
    <x v="1"/>
    <x v="1"/>
    <x v="12"/>
    <x v="1"/>
    <n v="12"/>
  </r>
  <r>
    <s v="DH052 "/>
    <s v=" Ma Kim Xuan "/>
    <n v="936096655"/>
    <n v="5290000"/>
    <n v="4"/>
    <n v="21160000"/>
    <d v="2024-12-23T00:00:00"/>
    <x v="0"/>
    <x v="1"/>
    <x v="17"/>
    <x v="0"/>
    <n v="12"/>
  </r>
  <r>
    <s v="DH259 "/>
    <s v=" Ly Van Yen "/>
    <n v="995594482"/>
    <n v="2990000"/>
    <n v="4"/>
    <n v="11960000"/>
    <d v="2024-12-30T00:00:00"/>
    <x v="2"/>
    <x v="1"/>
    <x v="12"/>
    <x v="8"/>
    <n v="12"/>
  </r>
  <r>
    <s v="DH051 "/>
    <s v=" Dinh Hong Giang "/>
    <n v="929777514"/>
    <n v="12500000"/>
    <n v="2"/>
    <n v="25000000"/>
    <d v="2024-02-12T00:00:00"/>
    <x v="2"/>
    <x v="0"/>
    <x v="19"/>
    <x v="5"/>
    <n v="2"/>
  </r>
  <r>
    <s v="DH165 "/>
    <s v=" Bui Van Tam "/>
    <n v="959823245"/>
    <n v="450000"/>
    <n v="5"/>
    <n v="2250000"/>
    <d v="2024-12-30T00:00:00"/>
    <x v="2"/>
    <x v="1"/>
    <x v="11"/>
    <x v="8"/>
    <n v="12"/>
  </r>
  <r>
    <s v="DH175 "/>
    <s v=" Hoang Van Ngoc "/>
    <n v="983284724"/>
    <n v="18490000"/>
    <n v="1"/>
    <n v="18490000"/>
    <d v="2024-12-27T00:00:00"/>
    <x v="0"/>
    <x v="2"/>
    <x v="7"/>
    <x v="0"/>
    <n v="12"/>
  </r>
  <r>
    <s v="DH009 "/>
    <s v=" La Hong Minh "/>
    <n v="917507864"/>
    <n v="9990000"/>
    <n v="2"/>
    <n v="19980000"/>
    <d v="2024-12-27T00:00:00"/>
    <x v="2"/>
    <x v="0"/>
    <x v="0"/>
    <x v="0"/>
    <n v="12"/>
  </r>
  <r>
    <s v="DH040 "/>
    <s v=" Hoang Hong Phuong "/>
    <n v="933763566"/>
    <n v="8900000"/>
    <n v="2"/>
    <n v="17800000"/>
    <d v="2024-01-12T00:00:00"/>
    <x v="0"/>
    <x v="2"/>
    <x v="9"/>
    <x v="7"/>
    <n v="1"/>
  </r>
  <r>
    <s v="DH254 "/>
    <s v=" Truong Kim Binh "/>
    <n v="985500790"/>
    <n v="9990000"/>
    <n v="1"/>
    <n v="9990000"/>
    <d v="2024-12-24T00:00:00"/>
    <x v="0"/>
    <x v="0"/>
    <x v="0"/>
    <x v="0"/>
    <n v="12"/>
  </r>
  <r>
    <s v="DH047 "/>
    <s v=" Dinh Hoang Lan "/>
    <n v="999508850"/>
    <n v="8900000"/>
    <n v="2"/>
    <n v="17800000"/>
    <d v="2024-12-11T00:00:00"/>
    <x v="1"/>
    <x v="2"/>
    <x v="9"/>
    <x v="9"/>
    <n v="12"/>
  </r>
  <r>
    <s v="DH112 "/>
    <s v=" Tang Thanh Em "/>
    <n v="922097496"/>
    <n v="12500000"/>
    <n v="2"/>
    <n v="25000000"/>
    <d v="2024-11-12T00:00:00"/>
    <x v="0"/>
    <x v="2"/>
    <x v="8"/>
    <x v="2"/>
    <n v="11"/>
  </r>
  <r>
    <s v="DH180 "/>
    <s v=" To Thi Quynh "/>
    <n v="990859912"/>
    <n v="15990000"/>
    <n v="2"/>
    <n v="31980000"/>
    <d v="2024-12-18T00:00:00"/>
    <x v="0"/>
    <x v="0"/>
    <x v="5"/>
    <x v="6"/>
    <n v="12"/>
  </r>
  <r>
    <s v="DH044 "/>
    <s v=" Vu Anh Kien "/>
    <n v="915134794"/>
    <n v="18990000"/>
    <n v="2"/>
    <n v="37980000"/>
    <d v="2024-12-20T00:00:00"/>
    <x v="1"/>
    <x v="0"/>
    <x v="3"/>
    <x v="6"/>
    <n v="12"/>
  </r>
  <r>
    <s v="DH016 "/>
    <s v=" Hoang Thanh Phuong "/>
    <n v="982394227"/>
    <n v="190000"/>
    <n v="1"/>
    <n v="190000"/>
    <d v="2024-12-30T00:00:00"/>
    <x v="2"/>
    <x v="1"/>
    <x v="10"/>
    <x v="8"/>
    <n v="12"/>
  </r>
  <r>
    <s v="DH145 "/>
    <s v=" To Duc Dung "/>
    <n v="964362516"/>
    <n v="12500000"/>
    <n v="1"/>
    <n v="12500000"/>
    <d v="2024-12-31T00:00:00"/>
    <x v="0"/>
    <x v="0"/>
    <x v="19"/>
    <x v="8"/>
    <n v="12"/>
  </r>
  <r>
    <s v="DH227 "/>
    <s v=" Bui Minh An "/>
    <n v="955246430"/>
    <n v="12500000"/>
    <n v="1"/>
    <n v="12500000"/>
    <d v="2024-12-19T00:00:00"/>
    <x v="0"/>
    <x v="2"/>
    <x v="8"/>
    <x v="6"/>
    <n v="12"/>
  </r>
  <r>
    <s v="DH137 "/>
    <s v=" Tang Kim Cuong "/>
    <n v="929042093"/>
    <n v="250000"/>
    <n v="1"/>
    <n v="250000"/>
    <d v="2024-12-21T00:00:00"/>
    <x v="1"/>
    <x v="1"/>
    <x v="21"/>
    <x v="6"/>
    <n v="12"/>
  </r>
  <r>
    <s v="DH034 "/>
    <s v=" Dinh Anh Uy "/>
    <n v="911049999"/>
    <n v="2990000"/>
    <n v="3"/>
    <n v="8970000"/>
    <d v="2024-12-27T00:00:00"/>
    <x v="2"/>
    <x v="1"/>
    <x v="12"/>
    <x v="0"/>
    <n v="12"/>
  </r>
  <r>
    <s v="DH058 "/>
    <s v=" Le Kim Quynh "/>
    <n v="954410148"/>
    <n v="450000"/>
    <n v="1"/>
    <n v="450000"/>
    <d v="2024-12-15T00:00:00"/>
    <x v="1"/>
    <x v="1"/>
    <x v="11"/>
    <x v="6"/>
    <n v="12"/>
  </r>
  <r>
    <s v="DH226 "/>
    <s v=" Duong Ngoc Em "/>
    <n v="977674279"/>
    <n v="350000"/>
    <n v="1"/>
    <n v="350000"/>
    <d v="2024-09-12T00:00:00"/>
    <x v="1"/>
    <x v="1"/>
    <x v="1"/>
    <x v="13"/>
    <n v="9"/>
  </r>
  <r>
    <s v="DH039 "/>
    <s v=" Tran Thanh Giang "/>
    <n v="943491314"/>
    <n v="2990000"/>
    <n v="5"/>
    <n v="14950000"/>
    <d v="2024-12-04T00:00:00"/>
    <x v="0"/>
    <x v="1"/>
    <x v="12"/>
    <x v="1"/>
    <n v="12"/>
  </r>
  <r>
    <s v="DH032 "/>
    <s v=" Dinh Ngoc Minh "/>
    <n v="919736572"/>
    <n v="12500000"/>
    <n v="1"/>
    <n v="12500000"/>
    <d v="2024-12-15T00:00:00"/>
    <x v="0"/>
    <x v="0"/>
    <x v="19"/>
    <x v="6"/>
    <n v="12"/>
  </r>
  <r>
    <s v="DH129 "/>
    <s v=" Dinh Ngoc Uy "/>
    <n v="991259008"/>
    <n v="8900000"/>
    <n v="1"/>
    <n v="8900000"/>
    <d v="2024-04-12T00:00:00"/>
    <x v="0"/>
    <x v="2"/>
    <x v="9"/>
    <x v="12"/>
    <n v="4"/>
  </r>
  <r>
    <s v="DH186 "/>
    <s v=" Vu Ngoc Uy "/>
    <n v="961940566"/>
    <n v="450000"/>
    <n v="3"/>
    <n v="1350000"/>
    <d v="2024-12-04T00:00:00"/>
    <x v="0"/>
    <x v="1"/>
    <x v="11"/>
    <x v="1"/>
    <n v="12"/>
  </r>
  <r>
    <s v="DH219 "/>
    <s v=" Le Thanh Son "/>
    <n v="998043078"/>
    <n v="6990000"/>
    <n v="1"/>
    <n v="6990000"/>
    <d v="2024-12-24T00:00:00"/>
    <x v="1"/>
    <x v="0"/>
    <x v="18"/>
    <x v="0"/>
    <n v="12"/>
  </r>
  <r>
    <s v="DH083 "/>
    <s v=" Quach Thi Giang "/>
    <n v="993955206"/>
    <n v="18990000"/>
    <n v="1"/>
    <n v="18990000"/>
    <d v="2024-09-12T00:00:00"/>
    <x v="0"/>
    <x v="0"/>
    <x v="2"/>
    <x v="13"/>
    <n v="9"/>
  </r>
  <r>
    <s v="DH002 "/>
    <s v=" Le Anh Quynh "/>
    <n v="914265799"/>
    <n v="12500000"/>
    <n v="1"/>
    <n v="12500000"/>
    <d v="2024-03-12T00:00:00"/>
    <x v="0"/>
    <x v="0"/>
    <x v="19"/>
    <x v="11"/>
    <n v="3"/>
  </r>
  <r>
    <s v="DH223 "/>
    <s v=" Truong Duc Binh "/>
    <n v="922007214"/>
    <n v="3990000"/>
    <n v="5"/>
    <n v="19950000"/>
    <d v="2024-12-19T00:00:00"/>
    <x v="2"/>
    <x v="1"/>
    <x v="16"/>
    <x v="6"/>
    <n v="12"/>
  </r>
  <r>
    <s v="DH209 "/>
    <s v=" Truong Anh Minh "/>
    <n v="931810655"/>
    <n v="8990000"/>
    <n v="2"/>
    <n v="17980000"/>
    <d v="2024-12-20T00:00:00"/>
    <x v="0"/>
    <x v="2"/>
    <x v="22"/>
    <x v="6"/>
    <n v="12"/>
  </r>
  <r>
    <s v="DH183 "/>
    <s v=" Duong Minh An "/>
    <n v="929163535"/>
    <n v="80000"/>
    <n v="1"/>
    <n v="80000"/>
    <d v="2024-12-22T00:00:00"/>
    <x v="0"/>
    <x v="1"/>
    <x v="4"/>
    <x v="0"/>
    <n v="12"/>
  </r>
  <r>
    <s v="DH070 "/>
    <s v=" Duong Duc Yen "/>
    <n v="982232344"/>
    <n v="190000"/>
    <n v="4"/>
    <n v="760000"/>
    <d v="2024-12-16T00:00:00"/>
    <x v="1"/>
    <x v="1"/>
    <x v="10"/>
    <x v="6"/>
    <n v="12"/>
  </r>
  <r>
    <s v="DH154 "/>
    <s v=" Ma Thi Minh "/>
    <n v="921318464"/>
    <n v="890000"/>
    <n v="1"/>
    <n v="890000"/>
    <d v="2024-12-21T00:00:00"/>
    <x v="1"/>
    <x v="1"/>
    <x v="23"/>
    <x v="6"/>
    <n v="12"/>
  </r>
  <r>
    <s v="DH089 "/>
    <s v=" Tran Minh Tam "/>
    <n v="979654147"/>
    <n v="3990000"/>
    <n v="2"/>
    <n v="7980000"/>
    <d v="2024-12-15T00:00:00"/>
    <x v="1"/>
    <x v="1"/>
    <x v="16"/>
    <x v="6"/>
    <n v="12"/>
  </r>
  <r>
    <s v="DH239 "/>
    <s v=" Ma Kim Phuc "/>
    <n v="920770971"/>
    <n v="2990000"/>
    <n v="5"/>
    <n v="14950000"/>
    <d v="2024-12-31T00:00:00"/>
    <x v="1"/>
    <x v="1"/>
    <x v="12"/>
    <x v="8"/>
    <n v="12"/>
  </r>
  <r>
    <s v="DH015 "/>
    <s v=" Bui Hoang Phuong "/>
    <n v="978139880"/>
    <n v="18990000"/>
    <n v="2"/>
    <n v="37980000"/>
    <d v="2024-12-28T00:00:00"/>
    <x v="2"/>
    <x v="0"/>
    <x v="3"/>
    <x v="0"/>
    <n v="12"/>
  </r>
  <r>
    <s v="DH066 "/>
    <s v=" Vu Anh Yen "/>
    <n v="925372341"/>
    <n v="190000"/>
    <n v="3"/>
    <n v="570000"/>
    <d v="2024-12-27T00:00:00"/>
    <x v="1"/>
    <x v="1"/>
    <x v="10"/>
    <x v="0"/>
    <n v="12"/>
  </r>
  <r>
    <s v="DH071 "/>
    <s v=" Ngo Thi Kien "/>
    <n v="970505620"/>
    <n v="9990000"/>
    <n v="2"/>
    <n v="19980000"/>
    <d v="2024-12-25T00:00:00"/>
    <x v="1"/>
    <x v="0"/>
    <x v="0"/>
    <x v="0"/>
    <n v="12"/>
  </r>
  <r>
    <s v="DH242 "/>
    <s v=" Do Thi Binh "/>
    <n v="998610233"/>
    <n v="8900000"/>
    <n v="1"/>
    <n v="8900000"/>
    <d v="2024-12-20T00:00:00"/>
    <x v="0"/>
    <x v="2"/>
    <x v="9"/>
    <x v="6"/>
    <n v="12"/>
  </r>
  <r>
    <s v="DH106 "/>
    <s v=" Cao Anh Hanh "/>
    <n v="976795767"/>
    <n v="280000"/>
    <n v="4"/>
    <n v="1120000"/>
    <d v="2024-05-12T00:00:00"/>
    <x v="1"/>
    <x v="1"/>
    <x v="20"/>
    <x v="3"/>
    <n v="5"/>
  </r>
  <r>
    <s v="DH059 "/>
    <s v=" Tang Van Xuan "/>
    <n v="961053877"/>
    <n v="150000"/>
    <n v="3"/>
    <n v="450000"/>
    <d v="2024-12-01T00:00:00"/>
    <x v="1"/>
    <x v="1"/>
    <x v="15"/>
    <x v="1"/>
    <n v="12"/>
  </r>
  <r>
    <s v="DH198 "/>
    <s v=" Cao Duc Son "/>
    <n v="919794273"/>
    <n v="5290000"/>
    <n v="4"/>
    <n v="21160000"/>
    <d v="2024-02-12T00:00:00"/>
    <x v="2"/>
    <x v="1"/>
    <x v="17"/>
    <x v="5"/>
    <n v="2"/>
  </r>
  <r>
    <s v="DH146 "/>
    <s v=" Ly Thi Quynh "/>
    <n v="924208709"/>
    <n v="9990000"/>
    <n v="2"/>
    <n v="19980000"/>
    <d v="2024-12-14T00:00:00"/>
    <x v="1"/>
    <x v="0"/>
    <x v="0"/>
    <x v="9"/>
    <n v="12"/>
  </r>
  <r>
    <s v="DH069 "/>
    <s v=" Nguyen Kim Tam "/>
    <n v="924165187"/>
    <n v="8900000"/>
    <n v="2"/>
    <n v="17800000"/>
    <d v="2024-12-31T00:00:00"/>
    <x v="2"/>
    <x v="2"/>
    <x v="9"/>
    <x v="8"/>
    <n v="12"/>
  </r>
  <r>
    <s v="DH204 "/>
    <s v=" Chau Duc Van "/>
    <n v="911097552"/>
    <n v="18990000"/>
    <n v="2"/>
    <n v="37980000"/>
    <d v="2024-12-14T00:00:00"/>
    <x v="1"/>
    <x v="0"/>
    <x v="3"/>
    <x v="9"/>
    <n v="12"/>
  </r>
  <r>
    <s v="DH249 "/>
    <s v=" Truong Thi Son "/>
    <n v="959805178"/>
    <n v="28990000"/>
    <n v="1"/>
    <n v="28990000"/>
    <d v="2024-12-18T00:00:00"/>
    <x v="0"/>
    <x v="0"/>
    <x v="6"/>
    <x v="6"/>
    <n v="12"/>
  </r>
  <r>
    <s v="DH019 "/>
    <s v=" To Hong Van "/>
    <n v="936998038"/>
    <n v="5290000"/>
    <n v="3"/>
    <n v="15870000"/>
    <d v="2024-12-10T00:00:00"/>
    <x v="1"/>
    <x v="1"/>
    <x v="17"/>
    <x v="9"/>
    <n v="12"/>
  </r>
  <r>
    <s v="DH098 "/>
    <s v=" Ly Thanh Van "/>
    <n v="982937948"/>
    <n v="8990000"/>
    <n v="1"/>
    <n v="8990000"/>
    <d v="2024-12-15T00:00:00"/>
    <x v="1"/>
    <x v="2"/>
    <x v="22"/>
    <x v="6"/>
    <n v="12"/>
  </r>
  <r>
    <s v="DH197 "/>
    <s v=" To Anh An "/>
    <n v="976845536"/>
    <n v="3990000"/>
    <n v="3"/>
    <n v="11970000"/>
    <d v="2024-12-18T00:00:00"/>
    <x v="0"/>
    <x v="1"/>
    <x v="16"/>
    <x v="6"/>
    <n v="12"/>
  </r>
  <r>
    <s v="DH004 "/>
    <s v=" Bui Minh Giang "/>
    <n v="955176955"/>
    <n v="18990000"/>
    <n v="1"/>
    <n v="18990000"/>
    <d v="2024-12-03T00:00:00"/>
    <x v="0"/>
    <x v="0"/>
    <x v="3"/>
    <x v="1"/>
    <n v="12"/>
  </r>
  <r>
    <s v="DH073 "/>
    <s v=" Le Hong Quynh "/>
    <n v="975575808"/>
    <n v="450000"/>
    <n v="4"/>
    <n v="1800000"/>
    <d v="2024-12-25T00:00:00"/>
    <x v="1"/>
    <x v="1"/>
    <x v="11"/>
    <x v="0"/>
    <n v="12"/>
  </r>
  <r>
    <s v="DH011 "/>
    <s v=" La Hoang Kien "/>
    <n v="988461803"/>
    <n v="8900000"/>
    <n v="2"/>
    <n v="17800000"/>
    <d v="2024-12-29T00:00:00"/>
    <x v="2"/>
    <x v="2"/>
    <x v="9"/>
    <x v="8"/>
    <n v="12"/>
  </r>
  <r>
    <s v="DH155 "/>
    <s v=" Duong Hoang Yen "/>
    <n v="931306555"/>
    <n v="9990000"/>
    <n v="2"/>
    <n v="19980000"/>
    <d v="2024-12-12T00:00:00"/>
    <x v="0"/>
    <x v="2"/>
    <x v="13"/>
    <x v="9"/>
    <n v="12"/>
  </r>
  <r>
    <s v="DH267 "/>
    <s v=" Cao Thi Lan "/>
    <n v="931803703"/>
    <n v="280000"/>
    <n v="4"/>
    <n v="1120000"/>
    <d v="2024-08-12T00:00:00"/>
    <x v="1"/>
    <x v="1"/>
    <x v="20"/>
    <x v="4"/>
    <n v="8"/>
  </r>
  <r>
    <s v="DH057 "/>
    <s v=" Truong Thanh Van "/>
    <n v="920814950"/>
    <n v="25990000"/>
    <n v="2"/>
    <n v="51980000"/>
    <d v="2024-05-12T00:00:00"/>
    <x v="2"/>
    <x v="0"/>
    <x v="14"/>
    <x v="3"/>
    <n v="5"/>
  </r>
  <r>
    <s v="DH143 "/>
    <s v=" Hoang Kim Van "/>
    <n v="940884937"/>
    <n v="890000"/>
    <n v="3"/>
    <n v="2670000"/>
    <d v="2024-12-18T00:00:00"/>
    <x v="0"/>
    <x v="1"/>
    <x v="23"/>
    <x v="6"/>
    <n v="12"/>
  </r>
  <r>
    <s v="DH160 "/>
    <s v=" Chau Hong Hanh "/>
    <n v="928463709"/>
    <n v="25990000"/>
    <n v="1"/>
    <n v="25990000"/>
    <d v="2024-12-03T00:00:00"/>
    <x v="0"/>
    <x v="0"/>
    <x v="14"/>
    <x v="1"/>
    <n v="12"/>
  </r>
  <r>
    <s v="DH256 "/>
    <s v=" La Thanh Kien "/>
    <n v="975581613"/>
    <n v="250000"/>
    <n v="4"/>
    <n v="1000000"/>
    <d v="2024-12-21T00:00:00"/>
    <x v="1"/>
    <x v="1"/>
    <x v="21"/>
    <x v="6"/>
    <n v="12"/>
  </r>
  <r>
    <s v="DH232 "/>
    <s v=" Hoang Ngoc Em "/>
    <n v="971066203"/>
    <n v="250000"/>
    <n v="4"/>
    <n v="1000000"/>
    <d v="2024-12-20T00:00:00"/>
    <x v="1"/>
    <x v="1"/>
    <x v="21"/>
    <x v="6"/>
    <n v="12"/>
  </r>
  <r>
    <s v="DH030 "/>
    <s v=" Ngo Kim Dung "/>
    <n v="986460539"/>
    <n v="9990000"/>
    <n v="1"/>
    <n v="9990000"/>
    <d v="2024-12-19T00:00:00"/>
    <x v="0"/>
    <x v="0"/>
    <x v="0"/>
    <x v="6"/>
    <n v="12"/>
  </r>
  <r>
    <s v="DH233 "/>
    <s v=" La Hong Hanh "/>
    <n v="989968863"/>
    <n v="28990000"/>
    <n v="2"/>
    <n v="57980000"/>
    <d v="2024-12-17T00:00:00"/>
    <x v="2"/>
    <x v="0"/>
    <x v="6"/>
    <x v="6"/>
    <n v="12"/>
  </r>
  <r>
    <s v="DH064 "/>
    <s v=" Ly Hong Cuong "/>
    <n v="997477029"/>
    <n v="22990000"/>
    <n v="1"/>
    <n v="22990000"/>
    <d v="2024-12-25T00:00:00"/>
    <x v="0"/>
    <x v="0"/>
    <x v="24"/>
    <x v="0"/>
    <n v="12"/>
  </r>
  <r>
    <s v="DH176 "/>
    <s v=" Chau Minh Em "/>
    <n v="918469210"/>
    <n v="5290000"/>
    <n v="1"/>
    <n v="5290000"/>
    <d v="2024-12-25T00:00:00"/>
    <x v="2"/>
    <x v="1"/>
    <x v="17"/>
    <x v="0"/>
    <n v="12"/>
  </r>
  <r>
    <s v="DH065 "/>
    <s v=" Hoang Hong Em "/>
    <n v="973560289"/>
    <n v="2990000"/>
    <n v="2"/>
    <n v="5980000"/>
    <d v="2024-04-12T00:00:00"/>
    <x v="1"/>
    <x v="1"/>
    <x v="12"/>
    <x v="12"/>
    <n v="4"/>
  </r>
  <r>
    <s v="DH184 "/>
    <s v=" Ly Thanh Phuc "/>
    <n v="986134287"/>
    <n v="22990000"/>
    <n v="2"/>
    <n v="45980000"/>
    <d v="2024-12-20T00:00:00"/>
    <x v="2"/>
    <x v="0"/>
    <x v="24"/>
    <x v="6"/>
    <n v="12"/>
  </r>
  <r>
    <s v="DH105 "/>
    <s v=" Ly Thanh Quynh "/>
    <n v="929538047"/>
    <n v="9990000"/>
    <n v="1"/>
    <n v="9990000"/>
    <d v="2024-12-17T00:00:00"/>
    <x v="0"/>
    <x v="0"/>
    <x v="0"/>
    <x v="6"/>
    <n v="12"/>
  </r>
  <r>
    <s v="DH235 "/>
    <s v=" Pham Hong Xuan "/>
    <n v="975609379"/>
    <n v="28990000"/>
    <n v="2"/>
    <n v="57980000"/>
    <d v="2024-12-29T00:00:00"/>
    <x v="0"/>
    <x v="0"/>
    <x v="6"/>
    <x v="8"/>
    <n v="12"/>
  </r>
  <r>
    <s v="DH265 "/>
    <s v=" Duong Van Hanh "/>
    <n v="938375916"/>
    <n v="5290000"/>
    <n v="4"/>
    <n v="21160000"/>
    <d v="2024-12-29T00:00:00"/>
    <x v="2"/>
    <x v="1"/>
    <x v="17"/>
    <x v="8"/>
    <n v="12"/>
  </r>
  <r>
    <s v="DH214 "/>
    <s v=" To Hoang Yen "/>
    <n v="973297813"/>
    <n v="250000"/>
    <n v="2"/>
    <n v="500000"/>
    <d v="2024-12-24T00:00:00"/>
    <x v="1"/>
    <x v="1"/>
    <x v="21"/>
    <x v="0"/>
    <n v="12"/>
  </r>
  <r>
    <s v="DH188 "/>
    <s v=" Le Thanh Ngoc "/>
    <n v="918715975"/>
    <n v="450000"/>
    <n v="3"/>
    <n v="1350000"/>
    <d v="2024-12-18T00:00:00"/>
    <x v="0"/>
    <x v="1"/>
    <x v="11"/>
    <x v="6"/>
    <n v="12"/>
  </r>
  <r>
    <s v="DH253 "/>
    <s v=" Dinh Duc Ngoc "/>
    <n v="978829070"/>
    <n v="150000"/>
    <n v="4"/>
    <n v="600000"/>
    <d v="2024-12-15T00:00:00"/>
    <x v="1"/>
    <x v="1"/>
    <x v="15"/>
    <x v="6"/>
    <n v="12"/>
  </r>
  <r>
    <s v="DH092 "/>
    <s v=" Duong Van Van "/>
    <n v="972005415"/>
    <n v="8900000"/>
    <n v="2"/>
    <n v="17800000"/>
    <d v="2024-02-12T00:00:00"/>
    <x v="0"/>
    <x v="2"/>
    <x v="9"/>
    <x v="5"/>
    <n v="2"/>
  </r>
  <r>
    <s v="DH014 "/>
    <s v=" La Duc Minh "/>
    <n v="924972279"/>
    <n v="12500000"/>
    <n v="2"/>
    <n v="25000000"/>
    <d v="2024-12-14T00:00:00"/>
    <x v="0"/>
    <x v="2"/>
    <x v="8"/>
    <x v="9"/>
    <n v="12"/>
  </r>
  <r>
    <s v="DH264 "/>
    <s v=" Chau Van An "/>
    <n v="933002714"/>
    <n v="28990000"/>
    <n v="2"/>
    <n v="57980000"/>
    <d v="2024-12-16T00:00:00"/>
    <x v="2"/>
    <x v="0"/>
    <x v="6"/>
    <x v="6"/>
    <n v="12"/>
  </r>
  <r>
    <s v="DH167 "/>
    <s v=" Tran Kim Uy "/>
    <n v="960192261"/>
    <n v="9990000"/>
    <n v="2"/>
    <n v="19980000"/>
    <d v="2024-12-13T00:00:00"/>
    <x v="2"/>
    <x v="0"/>
    <x v="0"/>
    <x v="9"/>
    <n v="12"/>
  </r>
  <r>
    <s v="DH139 "/>
    <s v=" Hoang Minh Yen "/>
    <n v="916679008"/>
    <n v="2990000"/>
    <n v="4"/>
    <n v="11960000"/>
    <d v="2024-12-03T00:00:00"/>
    <x v="0"/>
    <x v="1"/>
    <x v="12"/>
    <x v="1"/>
    <n v="12"/>
  </r>
  <r>
    <s v="DH211 "/>
    <s v=" Tang Duc An "/>
    <n v="990115852"/>
    <n v="150000"/>
    <n v="5"/>
    <n v="750000"/>
    <d v="2024-09-12T00:00:00"/>
    <x v="2"/>
    <x v="1"/>
    <x v="15"/>
    <x v="13"/>
    <n v="9"/>
  </r>
  <r>
    <s v="DH074 "/>
    <s v=" Nguyen Thi Lan "/>
    <n v="939742165"/>
    <n v="8990000"/>
    <n v="2"/>
    <n v="17980000"/>
    <d v="2024-12-23T00:00:00"/>
    <x v="1"/>
    <x v="2"/>
    <x v="22"/>
    <x v="0"/>
    <n v="12"/>
  </r>
  <r>
    <s v="DH171 "/>
    <s v=" Quach Hoang An "/>
    <n v="994819556"/>
    <n v="890000"/>
    <n v="2"/>
    <n v="1780000"/>
    <d v="2024-12-19T00:00:00"/>
    <x v="0"/>
    <x v="1"/>
    <x v="23"/>
    <x v="6"/>
    <n v="12"/>
  </r>
  <r>
    <s v="DH216 "/>
    <s v=" Bui Anh Tam "/>
    <n v="935805259"/>
    <n v="9990000"/>
    <n v="2"/>
    <n v="19980000"/>
    <d v="2024-09-12T00:00:00"/>
    <x v="1"/>
    <x v="0"/>
    <x v="0"/>
    <x v="13"/>
    <n v="9"/>
  </r>
  <r>
    <s v="DH045 "/>
    <s v=" Quach Hoang Dung "/>
    <n v="961700055"/>
    <n v="280000"/>
    <n v="1"/>
    <n v="280000"/>
    <d v="2024-12-07T00:00:00"/>
    <x v="0"/>
    <x v="1"/>
    <x v="20"/>
    <x v="1"/>
    <n v="12"/>
  </r>
  <r>
    <s v="DH125 "/>
    <s v=" Hoang Kim Uy "/>
    <n v="925253751"/>
    <n v="250000"/>
    <n v="4"/>
    <n v="1000000"/>
    <d v="2024-12-03T00:00:00"/>
    <x v="2"/>
    <x v="1"/>
    <x v="21"/>
    <x v="1"/>
    <n v="12"/>
  </r>
  <r>
    <s v="DH178 "/>
    <s v=" Do Duc Ngoc "/>
    <n v="916416148"/>
    <n v="3990000"/>
    <n v="1"/>
    <n v="3990000"/>
    <d v="2024-12-11T00:00:00"/>
    <x v="1"/>
    <x v="1"/>
    <x v="16"/>
    <x v="9"/>
    <n v="12"/>
  </r>
  <r>
    <s v="DH109 "/>
    <s v=" Tang Duc Lan "/>
    <n v="912944682"/>
    <n v="2990000"/>
    <n v="1"/>
    <n v="2990000"/>
    <d v="2024-12-13T00:00:00"/>
    <x v="0"/>
    <x v="1"/>
    <x v="12"/>
    <x v="9"/>
    <n v="12"/>
  </r>
  <r>
    <s v="DH099 "/>
    <s v=" Ngo Kim Binh "/>
    <n v="952704903"/>
    <n v="250000"/>
    <n v="4"/>
    <n v="1000000"/>
    <d v="2024-12-16T00:00:00"/>
    <x v="0"/>
    <x v="1"/>
    <x v="21"/>
    <x v="6"/>
    <n v="12"/>
  </r>
  <r>
    <s v="DH036 "/>
    <s v=" Bui Hoang Tam "/>
    <n v="943704923"/>
    <n v="22990000"/>
    <n v="2"/>
    <n v="45980000"/>
    <d v="2024-03-12T00:00:00"/>
    <x v="1"/>
    <x v="0"/>
    <x v="24"/>
    <x v="11"/>
    <n v="3"/>
  </r>
  <r>
    <s v="DH108 "/>
    <s v=" Bui Ngoc Lan "/>
    <n v="936738452"/>
    <n v="8990000"/>
    <n v="1"/>
    <n v="8990000"/>
    <d v="2024-12-28T00:00:00"/>
    <x v="1"/>
    <x v="2"/>
    <x v="22"/>
    <x v="0"/>
    <n v="12"/>
  </r>
  <r>
    <s v="DH220 "/>
    <s v=" La Duc Em "/>
    <n v="924660143"/>
    <n v="80000"/>
    <n v="2"/>
    <n v="160000"/>
    <d v="2024-12-24T00:00:00"/>
    <x v="0"/>
    <x v="1"/>
    <x v="4"/>
    <x v="0"/>
    <n v="12"/>
  </r>
  <r>
    <s v="DH131 "/>
    <s v=" To Thanh Kien "/>
    <n v="960237832"/>
    <n v="25990000"/>
    <n v="1"/>
    <n v="25990000"/>
    <d v="2024-12-22T00:00:00"/>
    <x v="2"/>
    <x v="0"/>
    <x v="14"/>
    <x v="0"/>
    <n v="12"/>
  </r>
  <r>
    <s v="DH096 "/>
    <s v=" Ngo Ngoc Van "/>
    <n v="929413516"/>
    <n v="8990000"/>
    <n v="1"/>
    <n v="8990000"/>
    <d v="2024-07-12T00:00:00"/>
    <x v="1"/>
    <x v="2"/>
    <x v="22"/>
    <x v="14"/>
    <n v="7"/>
  </r>
  <r>
    <s v="DH203 "/>
    <s v=" Duong Ngoc Hanh "/>
    <n v="938876195"/>
    <n v="280000"/>
    <n v="1"/>
    <n v="280000"/>
    <d v="2024-12-12T00:00:00"/>
    <x v="0"/>
    <x v="1"/>
    <x v="20"/>
    <x v="9"/>
    <n v="12"/>
  </r>
  <r>
    <s v="DH062 "/>
    <s v=" Le Kim Em "/>
    <n v="971968116"/>
    <n v="15990000"/>
    <n v="2"/>
    <n v="31980000"/>
    <d v="2024-12-02T00:00:00"/>
    <x v="1"/>
    <x v="0"/>
    <x v="5"/>
    <x v="1"/>
    <n v="12"/>
  </r>
  <r>
    <s v="DH031 "/>
    <s v=" Tang Anh Uy "/>
    <n v="952462441"/>
    <n v="6990000"/>
    <n v="2"/>
    <n v="13980000"/>
    <d v="2024-07-12T00:00:00"/>
    <x v="2"/>
    <x v="0"/>
    <x v="18"/>
    <x v="14"/>
    <n v="7"/>
  </r>
  <r>
    <s v="DH168 "/>
    <s v=" Truong Minh Em "/>
    <n v="915140967"/>
    <n v="12500000"/>
    <n v="1"/>
    <n v="12500000"/>
    <d v="2024-12-30T00:00:00"/>
    <x v="0"/>
    <x v="2"/>
    <x v="8"/>
    <x v="8"/>
    <n v="12"/>
  </r>
  <r>
    <s v="DH251 "/>
    <s v=" Dinh Van Giang "/>
    <n v="935504548"/>
    <n v="250000"/>
    <n v="4"/>
    <n v="1000000"/>
    <d v="2024-04-12T00:00:00"/>
    <x v="0"/>
    <x v="1"/>
    <x v="21"/>
    <x v="12"/>
    <n v="4"/>
  </r>
  <r>
    <s v="DH191 "/>
    <s v=" Chau Hoang Quynh "/>
    <n v="964953237"/>
    <n v="280000"/>
    <n v="3"/>
    <n v="840000"/>
    <d v="2024-03-12T00:00:00"/>
    <x v="1"/>
    <x v="1"/>
    <x v="20"/>
    <x v="11"/>
    <n v="3"/>
  </r>
  <r>
    <s v="DH228 "/>
    <s v=" Cao Kim Uy "/>
    <n v="954013571"/>
    <n v="28990000"/>
    <n v="1"/>
    <n v="28990000"/>
    <d v="2024-12-13T00:00:00"/>
    <x v="1"/>
    <x v="0"/>
    <x v="6"/>
    <x v="9"/>
    <n v="12"/>
  </r>
  <r>
    <s v="DH212 "/>
    <s v=" Tang Ngoc Phuong "/>
    <n v="980361272"/>
    <n v="3990000"/>
    <n v="4"/>
    <n v="15960000"/>
    <d v="2024-12-24T00:00:00"/>
    <x v="2"/>
    <x v="1"/>
    <x v="16"/>
    <x v="0"/>
    <n v="12"/>
  </r>
  <r>
    <s v="DH222 "/>
    <s v=" Nguyen Hoang Phuong "/>
    <n v="964614193"/>
    <n v="3990000"/>
    <n v="4"/>
    <n v="15960000"/>
    <d v="2024-12-30T00:00:00"/>
    <x v="1"/>
    <x v="1"/>
    <x v="16"/>
    <x v="8"/>
    <n v="12"/>
  </r>
  <r>
    <s v="DH091 "/>
    <s v=" Chau Duc Phuc "/>
    <n v="983832717"/>
    <n v="22990000"/>
    <n v="2"/>
    <n v="45980000"/>
    <d v="2024-12-15T00:00:00"/>
    <x v="1"/>
    <x v="0"/>
    <x v="24"/>
    <x v="6"/>
    <n v="12"/>
  </r>
  <r>
    <s v="DH237 "/>
    <s v=" Nguyen Hong Xuan "/>
    <n v="919801857"/>
    <n v="22990000"/>
    <n v="1"/>
    <n v="22990000"/>
    <d v="2024-12-14T00:00:00"/>
    <x v="2"/>
    <x v="0"/>
    <x v="24"/>
    <x v="9"/>
    <n v="12"/>
  </r>
  <r>
    <s v="DH173 "/>
    <s v=" Duong Hoang Uy "/>
    <n v="978131950"/>
    <n v="450000"/>
    <n v="4"/>
    <n v="1800000"/>
    <d v="2024-12-01T00:00:00"/>
    <x v="1"/>
    <x v="1"/>
    <x v="11"/>
    <x v="1"/>
    <n v="12"/>
  </r>
  <r>
    <s v="DH151 "/>
    <s v=" Tang Van Ngoc "/>
    <n v="978093604"/>
    <n v="28990000"/>
    <n v="2"/>
    <n v="57980000"/>
    <d v="2024-12-10T00:00:00"/>
    <x v="1"/>
    <x v="0"/>
    <x v="6"/>
    <x v="9"/>
    <n v="12"/>
  </r>
  <r>
    <s v="DH101 "/>
    <s v=" Pham Hoang Son "/>
    <n v="912059919"/>
    <n v="250000"/>
    <n v="2"/>
    <n v="500000"/>
    <d v="2024-12-05T00:00:00"/>
    <x v="1"/>
    <x v="1"/>
    <x v="21"/>
    <x v="1"/>
    <n v="12"/>
  </r>
  <r>
    <s v="DH157 "/>
    <s v=" Quach Minh Minh "/>
    <n v="920939011"/>
    <n v="280000"/>
    <n v="3"/>
    <n v="840000"/>
    <d v="2024-12-22T00:00:00"/>
    <x v="0"/>
    <x v="1"/>
    <x v="20"/>
    <x v="0"/>
    <n v="12"/>
  </r>
  <r>
    <s v="DH195 "/>
    <s v=" La Thi Uy "/>
    <n v="996031876"/>
    <n v="15990000"/>
    <n v="1"/>
    <n v="15990000"/>
    <d v="2024-12-19T00:00:00"/>
    <x v="0"/>
    <x v="0"/>
    <x v="5"/>
    <x v="6"/>
    <n v="12"/>
  </r>
  <r>
    <s v="DH153 "/>
    <s v=" Tran Ngoc Xuan "/>
    <n v="997488142"/>
    <n v="18990000"/>
    <n v="2"/>
    <n v="37980000"/>
    <d v="2024-11-12T00:00:00"/>
    <x v="2"/>
    <x v="0"/>
    <x v="2"/>
    <x v="2"/>
    <n v="11"/>
  </r>
  <r>
    <s v="DH081 "/>
    <s v=" Dinh Thi Hanh "/>
    <n v="925898299"/>
    <n v="450000"/>
    <n v="5"/>
    <n v="2250000"/>
    <d v="2024-12-25T00:00:00"/>
    <x v="2"/>
    <x v="1"/>
    <x v="11"/>
    <x v="0"/>
    <n v="12"/>
  </r>
  <r>
    <s v="DH200 "/>
    <s v=" Duong Hoang Dung "/>
    <n v="952831009"/>
    <n v="9990000"/>
    <n v="2"/>
    <n v="19980000"/>
    <d v="2024-12-15T00:00:00"/>
    <x v="2"/>
    <x v="0"/>
    <x v="0"/>
    <x v="6"/>
    <n v="12"/>
  </r>
  <r>
    <s v="DH136 "/>
    <s v=" Bui Van Phuong "/>
    <n v="946677730"/>
    <n v="5290000"/>
    <n v="3"/>
    <n v="15870000"/>
    <d v="2024-12-25T00:00:00"/>
    <x v="2"/>
    <x v="1"/>
    <x v="17"/>
    <x v="0"/>
    <n v="12"/>
  </r>
  <r>
    <s v="DH126 "/>
    <s v=" Ma Hoang Hanh "/>
    <n v="992558242"/>
    <n v="22990000"/>
    <n v="2"/>
    <n v="45980000"/>
    <d v="2024-12-24T00:00:00"/>
    <x v="2"/>
    <x v="0"/>
    <x v="24"/>
    <x v="0"/>
    <n v="12"/>
  </r>
  <r>
    <s v="DH068 "/>
    <s v=" Quach Thi Xuan "/>
    <n v="915512205"/>
    <n v="9990000"/>
    <n v="2"/>
    <n v="19980000"/>
    <d v="2024-12-18T00:00:00"/>
    <x v="1"/>
    <x v="2"/>
    <x v="13"/>
    <x v="6"/>
    <n v="12"/>
  </r>
  <r>
    <s v="DH224 "/>
    <s v=" Vu Kim Phuong "/>
    <n v="914877451"/>
    <n v="8990000"/>
    <n v="1"/>
    <n v="8990000"/>
    <d v="2024-12-26T00:00:00"/>
    <x v="1"/>
    <x v="2"/>
    <x v="22"/>
    <x v="0"/>
    <n v="12"/>
  </r>
  <r>
    <s v="DH118 "/>
    <s v=" La Minh Phuc "/>
    <n v="970887034"/>
    <n v="9990000"/>
    <n v="2"/>
    <n v="19980000"/>
    <d v="2024-12-22T00:00:00"/>
    <x v="2"/>
    <x v="2"/>
    <x v="13"/>
    <x v="0"/>
    <n v="12"/>
  </r>
  <r>
    <s v="DH193 "/>
    <s v=" Pham Hoang Em "/>
    <n v="950818905"/>
    <n v="15990000"/>
    <n v="1"/>
    <n v="15990000"/>
    <d v="2024-12-06T00:00:00"/>
    <x v="0"/>
    <x v="0"/>
    <x v="5"/>
    <x v="1"/>
    <n v="12"/>
  </r>
  <r>
    <s v="DH084 "/>
    <s v=" Le Minh An "/>
    <n v="964830300"/>
    <n v="350000"/>
    <n v="4"/>
    <n v="1400000"/>
    <d v="2024-12-23T00:00:00"/>
    <x v="1"/>
    <x v="1"/>
    <x v="1"/>
    <x v="0"/>
    <n v="12"/>
  </r>
  <r>
    <s v="DH094 "/>
    <s v=" Quach Hong Phuong "/>
    <n v="951708177"/>
    <n v="450000"/>
    <n v="4"/>
    <n v="1800000"/>
    <d v="2024-01-12T00:00:00"/>
    <x v="2"/>
    <x v="1"/>
    <x v="11"/>
    <x v="7"/>
    <n v="1"/>
  </r>
  <r>
    <s v="DH261 "/>
    <s v=" Duong Kim Phuong "/>
    <n v="924363501"/>
    <n v="18990000"/>
    <n v="1"/>
    <n v="18990000"/>
    <d v="2024-12-17T00:00:00"/>
    <x v="1"/>
    <x v="0"/>
    <x v="3"/>
    <x v="6"/>
    <n v="12"/>
  </r>
  <r>
    <s v="DH138 "/>
    <s v=" To Ngoc Minh "/>
    <n v="931127115"/>
    <n v="9990000"/>
    <n v="2"/>
    <n v="19980000"/>
    <d v="2024-10-12T00:00:00"/>
    <x v="2"/>
    <x v="2"/>
    <x v="13"/>
    <x v="10"/>
    <n v="10"/>
  </r>
  <r>
    <s v="DH027 "/>
    <s v=" Cao Van Phuc "/>
    <n v="945594951"/>
    <n v="350000"/>
    <n v="5"/>
    <n v="1750000"/>
    <d v="2024-12-10T00:00:00"/>
    <x v="2"/>
    <x v="1"/>
    <x v="1"/>
    <x v="9"/>
    <n v="12"/>
  </r>
  <r>
    <s v="DH148 "/>
    <s v=" Ly Minh Hanh "/>
    <n v="923798190"/>
    <n v="25990000"/>
    <n v="1"/>
    <n v="25990000"/>
    <d v="2024-09-12T00:00:00"/>
    <x v="0"/>
    <x v="0"/>
    <x v="14"/>
    <x v="13"/>
    <n v="9"/>
  </r>
  <r>
    <s v="DH017 "/>
    <s v=" Pham Thanh Lan "/>
    <n v="942138745"/>
    <n v="22990000"/>
    <n v="1"/>
    <n v="22990000"/>
    <d v="2024-08-12T00:00:00"/>
    <x v="2"/>
    <x v="0"/>
    <x v="24"/>
    <x v="4"/>
    <n v="8"/>
  </r>
  <r>
    <s v="DH252 "/>
    <s v=" Do Kim Hanh "/>
    <n v="984098828"/>
    <n v="18490000"/>
    <n v="2"/>
    <n v="36980000"/>
    <d v="2024-12-25T00:00:00"/>
    <x v="1"/>
    <x v="2"/>
    <x v="7"/>
    <x v="0"/>
    <n v="12"/>
  </r>
  <r>
    <s v="DH240 "/>
    <s v=" Pham Minh Van "/>
    <n v="962755436"/>
    <n v="890000"/>
    <n v="2"/>
    <n v="1780000"/>
    <d v="2024-05-12T00:00:00"/>
    <x v="1"/>
    <x v="1"/>
    <x v="23"/>
    <x v="3"/>
    <n v="5"/>
  </r>
  <r>
    <s v="DH273 "/>
    <s v=" Ma Hoang Van "/>
    <n v="978778646"/>
    <n v="8900000"/>
    <n v="1"/>
    <n v="8900000"/>
    <d v="2024-04-12T00:00:00"/>
    <x v="0"/>
    <x v="2"/>
    <x v="9"/>
    <x v="12"/>
    <n v="4"/>
  </r>
  <r>
    <s v="DH181 "/>
    <s v=" Dinh Duc Son "/>
    <n v="990882505"/>
    <n v="5290000"/>
    <n v="4"/>
    <n v="21160000"/>
    <d v="2024-12-14T00:00:00"/>
    <x v="0"/>
    <x v="1"/>
    <x v="17"/>
    <x v="9"/>
    <n v="12"/>
  </r>
  <r>
    <s v="DH100 "/>
    <s v=" Hoang Ngoc Binh "/>
    <n v="926944487"/>
    <n v="890000"/>
    <n v="3"/>
    <n v="2670000"/>
    <d v="2024-12-31T00:00:00"/>
    <x v="1"/>
    <x v="1"/>
    <x v="23"/>
    <x v="8"/>
    <n v="12"/>
  </r>
  <r>
    <s v="DH207 "/>
    <s v=" Ly Thanh Van "/>
    <n v="959070856"/>
    <n v="190000"/>
    <n v="5"/>
    <n v="950000"/>
    <d v="2024-05-12T00:00:00"/>
    <x v="2"/>
    <x v="1"/>
    <x v="10"/>
    <x v="3"/>
    <n v="5"/>
  </r>
  <r>
    <s v="DH152 "/>
    <s v=" Le Thi Yen "/>
    <n v="989736043"/>
    <n v="890000"/>
    <n v="5"/>
    <n v="4450000"/>
    <d v="2024-12-13T00:00:00"/>
    <x v="0"/>
    <x v="1"/>
    <x v="23"/>
    <x v="9"/>
    <n v="12"/>
  </r>
  <r>
    <s v="DH231 "/>
    <s v=" Vu Kim Uy "/>
    <n v="951738753"/>
    <n v="5290000"/>
    <n v="3"/>
    <n v="15870000"/>
    <d v="2024-04-12T00:00:00"/>
    <x v="2"/>
    <x v="1"/>
    <x v="17"/>
    <x v="12"/>
    <n v="4"/>
  </r>
  <r>
    <s v="DH271 "/>
    <s v=" Ngo Thi Cuong "/>
    <n v="945966597"/>
    <n v="25990000"/>
    <n v="1"/>
    <n v="25990000"/>
    <d v="2024-12-13T00:00:00"/>
    <x v="1"/>
    <x v="0"/>
    <x v="14"/>
    <x v="9"/>
    <n v="12"/>
  </r>
  <r>
    <s v="DH158 "/>
    <s v=" Cao Minh Yen "/>
    <n v="921370793"/>
    <n v="12500000"/>
    <n v="2"/>
    <n v="25000000"/>
    <d v="2024-12-18T00:00:00"/>
    <x v="0"/>
    <x v="2"/>
    <x v="8"/>
    <x v="6"/>
    <n v="12"/>
  </r>
  <r>
    <s v="DH189 "/>
    <s v=" Vu Thanh Uy "/>
    <n v="940097200"/>
    <n v="18990000"/>
    <n v="1"/>
    <n v="18990000"/>
    <d v="2024-07-12T00:00:00"/>
    <x v="0"/>
    <x v="0"/>
    <x v="3"/>
    <x v="14"/>
    <n v="7"/>
  </r>
  <r>
    <s v="DH008 "/>
    <s v=" Bui Thi Yen "/>
    <n v="995225343"/>
    <n v="15990000"/>
    <n v="1"/>
    <n v="15990000"/>
    <d v="2024-12-18T00:00:00"/>
    <x v="1"/>
    <x v="0"/>
    <x v="5"/>
    <x v="6"/>
    <n v="12"/>
  </r>
  <r>
    <s v="DH102 "/>
    <s v=" Truong Anh Phuc "/>
    <n v="997219599"/>
    <n v="28990000"/>
    <n v="2"/>
    <n v="57980000"/>
    <d v="2024-12-28T00:00:00"/>
    <x v="1"/>
    <x v="0"/>
    <x v="6"/>
    <x v="0"/>
    <n v="12"/>
  </r>
  <r>
    <s v="DH111 "/>
    <s v=" Quach Duc Em "/>
    <n v="994322033"/>
    <n v="18990000"/>
    <n v="1"/>
    <n v="18990000"/>
    <d v="2024-12-29T00:00:00"/>
    <x v="2"/>
    <x v="0"/>
    <x v="3"/>
    <x v="8"/>
    <n v="12"/>
  </r>
  <r>
    <s v="DH169 "/>
    <s v=" Nguyen Thi An "/>
    <n v="944349528"/>
    <n v="18990000"/>
    <n v="2"/>
    <n v="37980000"/>
    <d v="2024-12-27T00:00:00"/>
    <x v="2"/>
    <x v="0"/>
    <x v="2"/>
    <x v="0"/>
    <n v="12"/>
  </r>
  <r>
    <s v="DH164 "/>
    <s v=" Ma Ngoc Lan "/>
    <n v="961254050"/>
    <n v="890000"/>
    <n v="2"/>
    <n v="1780000"/>
    <d v="2024-12-17T00:00:00"/>
    <x v="2"/>
    <x v="1"/>
    <x v="23"/>
    <x v="6"/>
    <n v="12"/>
  </r>
  <r>
    <s v="DH202 "/>
    <s v=" Vu Ngoc Uy "/>
    <n v="972654864"/>
    <n v="150000"/>
    <n v="4"/>
    <n v="600000"/>
    <d v="2024-12-29T00:00:00"/>
    <x v="1"/>
    <x v="1"/>
    <x v="15"/>
    <x v="8"/>
    <n v="12"/>
  </r>
  <r>
    <s v="DH048 "/>
    <s v=" Cao Minh Yen "/>
    <n v="986384014"/>
    <n v="12500000"/>
    <n v="1"/>
    <n v="12500000"/>
    <d v="2024-12-13T00:00:00"/>
    <x v="1"/>
    <x v="2"/>
    <x v="8"/>
    <x v="9"/>
    <n v="12"/>
  </r>
  <r>
    <s v="DH162 "/>
    <s v=" Quach Minh Son "/>
    <n v="915864298"/>
    <n v="8900000"/>
    <n v="1"/>
    <n v="8900000"/>
    <d v="2024-12-12T00:00:00"/>
    <x v="0"/>
    <x v="2"/>
    <x v="9"/>
    <x v="9"/>
    <n v="12"/>
  </r>
  <r>
    <s v="DH104 "/>
    <s v=" Pham Thi Son "/>
    <n v="932329103"/>
    <n v="5290000"/>
    <n v="1"/>
    <n v="5290000"/>
    <d v="2024-10-12T00:00:00"/>
    <x v="1"/>
    <x v="1"/>
    <x v="17"/>
    <x v="10"/>
    <n v="10"/>
  </r>
  <r>
    <s v="DH060 "/>
    <s v=" La Hoang Yen "/>
    <n v="939600202"/>
    <n v="150000"/>
    <n v="4"/>
    <n v="600000"/>
    <d v="2024-12-08T00:00:00"/>
    <x v="1"/>
    <x v="1"/>
    <x v="15"/>
    <x v="9"/>
    <n v="12"/>
  </r>
  <r>
    <s v="DH119 "/>
    <s v=" To Thi Tam "/>
    <n v="992631441"/>
    <n v="8900000"/>
    <n v="1"/>
    <n v="8900000"/>
    <d v="2024-12-31T00:00:00"/>
    <x v="1"/>
    <x v="2"/>
    <x v="9"/>
    <x v="8"/>
    <n v="12"/>
  </r>
  <r>
    <s v="DH110 "/>
    <s v=" Tran Anh Tam "/>
    <n v="948412328"/>
    <n v="190000"/>
    <n v="5"/>
    <n v="950000"/>
    <d v="2024-12-26T00:00:00"/>
    <x v="2"/>
    <x v="1"/>
    <x v="10"/>
    <x v="0"/>
    <n v="12"/>
  </r>
  <r>
    <s v="DH144 "/>
    <s v=" Tran Kim An "/>
    <n v="971707170"/>
    <n v="28990000"/>
    <n v="2"/>
    <n v="57980000"/>
    <d v="2024-12-28T00:00:00"/>
    <x v="0"/>
    <x v="0"/>
    <x v="6"/>
    <x v="0"/>
    <n v="12"/>
  </r>
  <r>
    <s v="DH085 "/>
    <s v=" Dinh Ngoc Cuong "/>
    <n v="941329612"/>
    <n v="6990000"/>
    <n v="1"/>
    <n v="6990000"/>
    <d v="2024-12-26T00:00:00"/>
    <x v="2"/>
    <x v="0"/>
    <x v="18"/>
    <x v="0"/>
    <n v="12"/>
  </r>
  <r>
    <s v="DH041 "/>
    <s v=" Ngo Duc Phuong "/>
    <n v="924508349"/>
    <n v="8990000"/>
    <n v="2"/>
    <n v="17980000"/>
    <d v="2024-12-28T00:00:00"/>
    <x v="1"/>
    <x v="2"/>
    <x v="22"/>
    <x v="0"/>
    <n v="12"/>
  </r>
  <r>
    <s v="DH142 "/>
    <s v=" Dinh Hong Em "/>
    <n v="944295247"/>
    <n v="12500000"/>
    <n v="1"/>
    <n v="12500000"/>
    <d v="2024-11-12T00:00:00"/>
    <x v="2"/>
    <x v="2"/>
    <x v="8"/>
    <x v="2"/>
    <n v="11"/>
  </r>
  <r>
    <s v="DH270 "/>
    <s v=" Chau Hong Ngoc "/>
    <n v="984227466"/>
    <n v="8990000"/>
    <n v="2"/>
    <n v="17980000"/>
    <d v="2024-12-14T00:00:00"/>
    <x v="1"/>
    <x v="2"/>
    <x v="22"/>
    <x v="9"/>
    <n v="12"/>
  </r>
  <r>
    <s v="DH063 "/>
    <s v=" Truong Kim Kien "/>
    <n v="966581473"/>
    <n v="6990000"/>
    <n v="2"/>
    <n v="13980000"/>
    <d v="2024-12-27T00:00:00"/>
    <x v="2"/>
    <x v="0"/>
    <x v="18"/>
    <x v="0"/>
    <n v="12"/>
  </r>
  <r>
    <s v="DH190 "/>
    <s v=" Tang Thanh Son "/>
    <n v="984040798"/>
    <n v="25990000"/>
    <n v="1"/>
    <n v="25990000"/>
    <d v="2024-12-20T00:00:00"/>
    <x v="0"/>
    <x v="0"/>
    <x v="14"/>
    <x v="6"/>
    <n v="12"/>
  </r>
  <r>
    <s v="DH043 "/>
    <s v=" Bui Thanh Uy "/>
    <n v="963643924"/>
    <n v="2990000"/>
    <n v="3"/>
    <n v="8970000"/>
    <d v="2024-12-27T00:00:00"/>
    <x v="1"/>
    <x v="1"/>
    <x v="12"/>
    <x v="0"/>
    <n v="12"/>
  </r>
  <r>
    <s v="DH276 "/>
    <s v=" Vu Kim Kien "/>
    <n v="966519399"/>
    <n v="12500000"/>
    <n v="2"/>
    <n v="25000000"/>
    <d v="2024-12-16T00:00:00"/>
    <x v="0"/>
    <x v="2"/>
    <x v="8"/>
    <x v="6"/>
    <n v="12"/>
  </r>
  <r>
    <s v="DH174 "/>
    <s v=" Bui Van Ngoc "/>
    <n v="919067690"/>
    <n v="9990000"/>
    <n v="1"/>
    <n v="9990000"/>
    <d v="2024-08-12T00:00:00"/>
    <x v="1"/>
    <x v="2"/>
    <x v="13"/>
    <x v="4"/>
    <n v="8"/>
  </r>
  <r>
    <s v="DH028 "/>
    <s v=" Do Duc Giang "/>
    <n v="917849494"/>
    <n v="280000"/>
    <n v="1"/>
    <n v="280000"/>
    <d v="2024-12-24T00:00:00"/>
    <x v="2"/>
    <x v="1"/>
    <x v="20"/>
    <x v="0"/>
    <n v="12"/>
  </r>
  <r>
    <s v="DH166 "/>
    <s v=" Bui Ngoc Uy "/>
    <n v="929776801"/>
    <n v="8900000"/>
    <n v="2"/>
    <n v="17800000"/>
    <d v="2024-03-12T00:00:00"/>
    <x v="1"/>
    <x v="2"/>
    <x v="9"/>
    <x v="11"/>
    <n v="3"/>
  </r>
  <r>
    <s v="DH243 "/>
    <s v=" Tran Ngoc Yen "/>
    <n v="916533225"/>
    <n v="9990000"/>
    <n v="2"/>
    <n v="19980000"/>
    <d v="2024-12-24T00:00:00"/>
    <x v="2"/>
    <x v="0"/>
    <x v="0"/>
    <x v="0"/>
    <n v="12"/>
  </r>
  <r>
    <s v="DH218 "/>
    <s v=" La Kim Phuc "/>
    <n v="956323191"/>
    <n v="190000"/>
    <n v="3"/>
    <n v="570000"/>
    <d v="2024-12-26T00:00:00"/>
    <x v="0"/>
    <x v="1"/>
    <x v="10"/>
    <x v="0"/>
    <n v="12"/>
  </r>
  <r>
    <s v="DH272 "/>
    <s v=" Pham Thi An "/>
    <n v="951374957"/>
    <n v="350000"/>
    <n v="1"/>
    <n v="350000"/>
    <d v="2024-12-12T00:00:00"/>
    <x v="1"/>
    <x v="1"/>
    <x v="1"/>
    <x v="9"/>
    <n v="12"/>
  </r>
  <r>
    <s v="DH250 "/>
    <s v=" Quach Anh Binh "/>
    <n v="919768947"/>
    <n v="18990000"/>
    <n v="1"/>
    <n v="18990000"/>
    <d v="2024-12-26T00:00:00"/>
    <x v="1"/>
    <x v="0"/>
    <x v="2"/>
    <x v="0"/>
    <n v="12"/>
  </r>
  <r>
    <s v="DH208 "/>
    <s v=" Tran Van Em "/>
    <n v="954699966"/>
    <n v="150000"/>
    <n v="2"/>
    <n v="300000"/>
    <d v="2024-12-17T00:00:00"/>
    <x v="2"/>
    <x v="1"/>
    <x v="15"/>
    <x v="6"/>
    <n v="12"/>
  </r>
  <r>
    <s v="DH077 "/>
    <s v=" Bui Anh Uy "/>
    <n v="990099897"/>
    <n v="12500000"/>
    <n v="2"/>
    <n v="25000000"/>
    <d v="2024-04-12T00:00:00"/>
    <x v="1"/>
    <x v="2"/>
    <x v="8"/>
    <x v="12"/>
    <n v="4"/>
  </r>
  <r>
    <s v="DH018 "/>
    <s v=" La Minh Em "/>
    <n v="998550256"/>
    <n v="150000"/>
    <n v="2"/>
    <n v="300000"/>
    <d v="2024-12-31T00:00:00"/>
    <x v="0"/>
    <x v="1"/>
    <x v="15"/>
    <x v="8"/>
    <n v="12"/>
  </r>
  <r>
    <s v="DH082 "/>
    <s v=" Duong Kim Son "/>
    <n v="969421007"/>
    <n v="12500000"/>
    <n v="2"/>
    <n v="25000000"/>
    <d v="2024-12-28T00:00:00"/>
    <x v="2"/>
    <x v="2"/>
    <x v="8"/>
    <x v="0"/>
    <n v="12"/>
  </r>
  <r>
    <s v="DH116 "/>
    <s v=" Ly Thi Hanh "/>
    <n v="973280554"/>
    <n v="12500000"/>
    <n v="2"/>
    <n v="25000000"/>
    <d v="2024-12-20T00:00:00"/>
    <x v="2"/>
    <x v="0"/>
    <x v="19"/>
    <x v="6"/>
    <n v="12"/>
  </r>
  <r>
    <s v="DH179 "/>
    <s v=" Ma Kim Minh "/>
    <n v="935074182"/>
    <n v="150000"/>
    <n v="3"/>
    <n v="450000"/>
    <d v="2024-12-23T00:00:00"/>
    <x v="2"/>
    <x v="1"/>
    <x v="15"/>
    <x v="0"/>
    <n v="12"/>
  </r>
  <r>
    <s v="DH113 "/>
    <s v=" Ly Hoang Uy "/>
    <n v="946578001"/>
    <n v="15990000"/>
    <n v="2"/>
    <n v="31980000"/>
    <d v="2024-12-09T00:00:00"/>
    <x v="2"/>
    <x v="0"/>
    <x v="5"/>
    <x v="9"/>
    <n v="12"/>
  </r>
  <r>
    <s v="DH025 "/>
    <s v=" Vu Duc Son "/>
    <n v="943528453"/>
    <n v="28990000"/>
    <n v="1"/>
    <n v="28990000"/>
    <d v="2024-12-15T00:00:00"/>
    <x v="0"/>
    <x v="0"/>
    <x v="6"/>
    <x v="6"/>
    <n v="12"/>
  </r>
  <r>
    <s v="DH122 "/>
    <s v=" Hoang Anh Giang "/>
    <n v="919208698"/>
    <n v="190000"/>
    <n v="5"/>
    <n v="950000"/>
    <d v="2024-12-18T00:00:00"/>
    <x v="2"/>
    <x v="1"/>
    <x v="10"/>
    <x v="6"/>
    <n v="12"/>
  </r>
  <r>
    <s v="DH245 "/>
    <s v=" Truong Hong Lan "/>
    <n v="929228089"/>
    <n v="2990000"/>
    <n v="4"/>
    <n v="11960000"/>
    <d v="2024-12-17T00:00:00"/>
    <x v="0"/>
    <x v="1"/>
    <x v="12"/>
    <x v="6"/>
    <n v="12"/>
  </r>
  <r>
    <s v="DH134 "/>
    <s v=" Hoang Ngoc Hanh "/>
    <n v="924524825"/>
    <n v="9990000"/>
    <n v="2"/>
    <n v="19980000"/>
    <d v="2024-12-28T00:00:00"/>
    <x v="0"/>
    <x v="2"/>
    <x v="13"/>
    <x v="0"/>
    <n v="12"/>
  </r>
  <r>
    <s v="DH053 "/>
    <s v=" Nguyen Thi Quynh "/>
    <n v="939372360"/>
    <n v="15990000"/>
    <n v="2"/>
    <n v="31980000"/>
    <d v="2024-12-26T00:00:00"/>
    <x v="2"/>
    <x v="0"/>
    <x v="5"/>
    <x v="0"/>
    <n v="12"/>
  </r>
  <r>
    <s v="DH263 "/>
    <s v=" Ngo Duc Cuong "/>
    <n v="997742922"/>
    <n v="3990000"/>
    <n v="1"/>
    <n v="3990000"/>
    <d v="2024-12-25T00:00:00"/>
    <x v="0"/>
    <x v="1"/>
    <x v="16"/>
    <x v="0"/>
    <n v="12"/>
  </r>
  <r>
    <s v="DH117 "/>
    <s v=" Ma Duc Quynh "/>
    <n v="925659979"/>
    <n v="25990000"/>
    <n v="2"/>
    <n v="51980000"/>
    <d v="2024-02-12T00:00:00"/>
    <x v="2"/>
    <x v="0"/>
    <x v="14"/>
    <x v="5"/>
    <n v="2"/>
  </r>
  <r>
    <s v="DH088 "/>
    <s v=" Truong Anh Kien "/>
    <n v="913471527"/>
    <n v="28990000"/>
    <n v="1"/>
    <n v="28990000"/>
    <d v="2024-08-12T00:00:00"/>
    <x v="0"/>
    <x v="0"/>
    <x v="6"/>
    <x v="4"/>
    <n v="8"/>
  </r>
  <r>
    <s v="DH080 "/>
    <s v=" Bui Ngoc Dung "/>
    <n v="918770247"/>
    <n v="8990000"/>
    <n v="1"/>
    <n v="8990000"/>
    <d v="2024-12-16T00:00:00"/>
    <x v="0"/>
    <x v="2"/>
    <x v="22"/>
    <x v="6"/>
    <n v="12"/>
  </r>
  <r>
    <s v="DH090 "/>
    <s v=" Le Ngoc Ngoc "/>
    <n v="964807553"/>
    <n v="18490000"/>
    <n v="1"/>
    <n v="18490000"/>
    <d v="2024-11-12T00:00:00"/>
    <x v="0"/>
    <x v="2"/>
    <x v="7"/>
    <x v="2"/>
    <n v="11"/>
  </r>
  <r>
    <s v="DH037 "/>
    <s v=" Hoang Duc Phuong "/>
    <n v="969302158"/>
    <n v="450000"/>
    <n v="5"/>
    <n v="2250000"/>
    <d v="2024-12-23T00:00:00"/>
    <x v="0"/>
    <x v="1"/>
    <x v="11"/>
    <x v="0"/>
    <n v="12"/>
  </r>
  <r>
    <s v="DH187 "/>
    <s v=" Dinh Ngoc Giang "/>
    <n v="926460116"/>
    <n v="25990000"/>
    <n v="2"/>
    <n v="51980000"/>
    <d v="2024-12-28T00:00:00"/>
    <x v="1"/>
    <x v="0"/>
    <x v="14"/>
    <x v="0"/>
    <n v="12"/>
  </r>
  <r>
    <s v="DH241 "/>
    <s v=" Ma Hoang Quynh "/>
    <n v="981394920"/>
    <n v="8990000"/>
    <n v="1"/>
    <n v="8990000"/>
    <d v="2024-12-27T00:00:00"/>
    <x v="1"/>
    <x v="2"/>
    <x v="22"/>
    <x v="0"/>
    <n v="12"/>
  </r>
  <r>
    <s v="DH213 "/>
    <s v=" Tran Anh Dung "/>
    <n v="935606639"/>
    <n v="12500000"/>
    <n v="2"/>
    <n v="25000000"/>
    <d v="2024-12-15T00:00:00"/>
    <x v="2"/>
    <x v="0"/>
    <x v="19"/>
    <x v="6"/>
    <n v="12"/>
  </r>
  <r>
    <s v="DH022 "/>
    <s v=" La Minh Xuan "/>
    <n v="987337818"/>
    <n v="150000"/>
    <n v="4"/>
    <n v="600000"/>
    <d v="2024-12-08T00:00:00"/>
    <x v="0"/>
    <x v="1"/>
    <x v="15"/>
    <x v="9"/>
    <n v="12"/>
  </r>
  <r>
    <s v="DH247 "/>
    <s v=" To Minh Lan "/>
    <n v="960527631"/>
    <n v="15990000"/>
    <n v="2"/>
    <n v="31980000"/>
    <d v="2024-12-25T00:00:00"/>
    <x v="1"/>
    <x v="0"/>
    <x v="5"/>
    <x v="0"/>
    <n v="12"/>
  </r>
  <r>
    <s v="DH236 "/>
    <s v=" To Ngoc Xuan "/>
    <n v="917749299"/>
    <n v="450000"/>
    <n v="3"/>
    <n v="1350000"/>
    <d v="2024-12-15T00:00:00"/>
    <x v="1"/>
    <x v="1"/>
    <x v="11"/>
    <x v="6"/>
    <n v="12"/>
  </r>
  <r>
    <s v="DH107 "/>
    <s v=" Nguyen Ngoc Lan "/>
    <n v="983363160"/>
    <n v="15990000"/>
    <n v="2"/>
    <n v="31980000"/>
    <d v="2024-12-03T00:00:00"/>
    <x v="1"/>
    <x v="0"/>
    <x v="5"/>
    <x v="1"/>
    <n v="12"/>
  </r>
  <r>
    <s v="DH076 "/>
    <s v=" Bui Hong Dung "/>
    <n v="935848226"/>
    <n v="18490000"/>
    <n v="1"/>
    <n v="18490000"/>
    <d v="2024-04-12T00:00:00"/>
    <x v="1"/>
    <x v="2"/>
    <x v="7"/>
    <x v="12"/>
    <n v="4"/>
  </r>
  <r>
    <s v="DH054 "/>
    <s v=" Ma Minh Son "/>
    <n v="999600766"/>
    <n v="890000"/>
    <n v="3"/>
    <n v="2670000"/>
    <d v="2024-12-18T00:00:00"/>
    <x v="0"/>
    <x v="1"/>
    <x v="23"/>
    <x v="6"/>
    <n v="12"/>
  </r>
  <r>
    <s v="DH248 "/>
    <s v=" Hoang Ngoc Binh "/>
    <n v="985482164"/>
    <n v="8900000"/>
    <n v="1"/>
    <n v="8900000"/>
    <d v="2024-12-31T00:00:00"/>
    <x v="2"/>
    <x v="2"/>
    <x v="9"/>
    <x v="8"/>
    <n v="12"/>
  </r>
  <r>
    <s v="DH013 "/>
    <s v=" Cao Kim Yen "/>
    <n v="972820592"/>
    <n v="890000"/>
    <n v="1"/>
    <n v="890000"/>
    <d v="2024-09-12T00:00:00"/>
    <x v="0"/>
    <x v="1"/>
    <x v="23"/>
    <x v="13"/>
    <n v="9"/>
  </r>
  <r>
    <s v="DH177 "/>
    <s v=" Tran Thanh Lan "/>
    <n v="979173614"/>
    <n v="8990000"/>
    <n v="2"/>
    <n v="17980000"/>
    <d v="2024-12-27T00:00:00"/>
    <x v="0"/>
    <x v="2"/>
    <x v="22"/>
    <x v="0"/>
    <n v="12"/>
  </r>
  <r>
    <s v="DH078 "/>
    <s v=" Nguyen Hoang Em "/>
    <n v="946817443"/>
    <n v="22990000"/>
    <n v="2"/>
    <n v="45980000"/>
    <d v="2024-02-12T00:00:00"/>
    <x v="0"/>
    <x v="0"/>
    <x v="24"/>
    <x v="5"/>
    <n v="2"/>
  </r>
  <r>
    <s v="DH257 "/>
    <s v=" Vu Minh Van "/>
    <n v="975540707"/>
    <n v="15990000"/>
    <n v="1"/>
    <n v="15990000"/>
    <d v="2024-12-30T00:00:00"/>
    <x v="2"/>
    <x v="0"/>
    <x v="5"/>
    <x v="8"/>
    <n v="12"/>
  </r>
  <r>
    <s v="DH238 "/>
    <s v=" Chau Van Lan "/>
    <n v="964877191"/>
    <n v="15990000"/>
    <n v="2"/>
    <n v="31980000"/>
    <d v="2024-12-25T00:00:00"/>
    <x v="1"/>
    <x v="0"/>
    <x v="5"/>
    <x v="0"/>
    <n v="12"/>
  </r>
  <r>
    <s v="DH201 "/>
    <s v=" Tran Duc Phuc "/>
    <n v="992594562"/>
    <n v="8900000"/>
    <n v="2"/>
    <n v="17800000"/>
    <d v="2024-08-12T00:00:00"/>
    <x v="2"/>
    <x v="2"/>
    <x v="9"/>
    <x v="4"/>
    <n v="8"/>
  </r>
  <r>
    <s v="DH192 "/>
    <s v=" Duong Thanh Em "/>
    <n v="983994695"/>
    <n v="3990000"/>
    <n v="2"/>
    <n v="7980000"/>
    <d v="2024-12-19T00:00:00"/>
    <x v="2"/>
    <x v="1"/>
    <x v="16"/>
    <x v="6"/>
    <n v="12"/>
  </r>
  <r>
    <s v="DH229 "/>
    <s v=" Truong Hong An "/>
    <n v="945002007"/>
    <n v="8990000"/>
    <n v="2"/>
    <n v="17980000"/>
    <d v="2024-12-08T00:00:00"/>
    <x v="0"/>
    <x v="2"/>
    <x v="22"/>
    <x v="9"/>
    <n v="12"/>
  </r>
  <r>
    <s v="DH269 "/>
    <s v=" Truong Anh Yen "/>
    <n v="989941241"/>
    <n v="8990000"/>
    <n v="1"/>
    <n v="8990000"/>
    <d v="2024-12-25T00:00:00"/>
    <x v="1"/>
    <x v="2"/>
    <x v="22"/>
    <x v="0"/>
    <n v="12"/>
  </r>
  <r>
    <s v="DH266 "/>
    <s v=" Bui Hoang Xuan "/>
    <n v="998329927"/>
    <n v="22990000"/>
    <n v="1"/>
    <n v="22990000"/>
    <d v="2024-12-06T00:00:00"/>
    <x v="0"/>
    <x v="0"/>
    <x v="24"/>
    <x v="1"/>
    <n v="12"/>
  </r>
  <r>
    <s v="DH262 "/>
    <s v=" Ly Duc Phuc "/>
    <n v="920605783"/>
    <n v="9990000"/>
    <n v="2"/>
    <n v="19980000"/>
    <d v="2024-12-31T00:00:00"/>
    <x v="0"/>
    <x v="2"/>
    <x v="13"/>
    <x v="8"/>
    <n v="12"/>
  </r>
  <r>
    <s v="DH114 "/>
    <s v=" Ma Thi Em "/>
    <n v="940281491"/>
    <n v="2990000"/>
    <n v="4"/>
    <n v="11960000"/>
    <d v="2024-12-24T00:00:00"/>
    <x v="1"/>
    <x v="1"/>
    <x v="12"/>
    <x v="0"/>
    <n v="12"/>
  </r>
  <r>
    <s v="DH133 "/>
    <s v=" To Thanh Quynh "/>
    <n v="916904975"/>
    <n v="12500000"/>
    <n v="2"/>
    <n v="25000000"/>
    <d v="2024-12-20T00:00:00"/>
    <x v="2"/>
    <x v="2"/>
    <x v="8"/>
    <x v="6"/>
    <n v="12"/>
  </r>
  <r>
    <s v="DH006 "/>
    <s v=" Quach Thanh Xuan "/>
    <n v="935808537"/>
    <n v="5290000"/>
    <n v="2"/>
    <n v="10580000"/>
    <d v="2024-03-12T00:00:00"/>
    <x v="2"/>
    <x v="1"/>
    <x v="17"/>
    <x v="11"/>
    <n v="3"/>
  </r>
  <r>
    <s v="DH055 "/>
    <s v=" Duong Kim Van "/>
    <n v="969849511"/>
    <n v="15990000"/>
    <n v="2"/>
    <n v="31980000"/>
    <d v="2024-12-24T00:00:00"/>
    <x v="0"/>
    <x v="0"/>
    <x v="5"/>
    <x v="0"/>
    <n v="12"/>
  </r>
  <r>
    <s v="DH221 "/>
    <s v=" Ngo Hong Binh "/>
    <n v="923448342"/>
    <n v="8900000"/>
    <n v="2"/>
    <n v="17800000"/>
    <d v="2024-11-12T00:00:00"/>
    <x v="2"/>
    <x v="2"/>
    <x v="9"/>
    <x v="2"/>
    <n v="11"/>
  </r>
  <r>
    <s v="DH170 "/>
    <s v=" Dinh Thi Binh "/>
    <n v="942002808"/>
    <n v="8900000"/>
    <n v="2"/>
    <n v="17800000"/>
    <d v="2024-12-21T00:00:00"/>
    <x v="1"/>
    <x v="2"/>
    <x v="9"/>
    <x v="6"/>
    <n v="12"/>
  </r>
  <r>
    <s v="DH205 "/>
    <s v=" Ly Van Phuc "/>
    <n v="916866268"/>
    <n v="280000"/>
    <n v="3"/>
    <n v="840000"/>
    <d v="2024-12-18T00:00:00"/>
    <x v="1"/>
    <x v="1"/>
    <x v="20"/>
    <x v="6"/>
    <n v="12"/>
  </r>
  <r>
    <s v="DH023 "/>
    <s v=" To Thanh Quynh "/>
    <n v="965177213"/>
    <n v="350000"/>
    <n v="1"/>
    <n v="350000"/>
    <d v="2024-12-28T00:00:00"/>
    <x v="0"/>
    <x v="1"/>
    <x v="1"/>
    <x v="0"/>
    <n v="12"/>
  </r>
  <r>
    <s v="DH086 "/>
    <s v=" Hoang Duc Em "/>
    <n v="919584466"/>
    <n v="22990000"/>
    <n v="2"/>
    <n v="45980000"/>
    <d v="2024-12-06T00:00:00"/>
    <x v="0"/>
    <x v="0"/>
    <x v="24"/>
    <x v="1"/>
    <n v="12"/>
  </r>
  <r>
    <s v="DH182 "/>
    <s v=" Ly Anh Quynh "/>
    <n v="946850196"/>
    <n v="3990000"/>
    <n v="1"/>
    <n v="3990000"/>
    <d v="2024-12-26T00:00:00"/>
    <x v="1"/>
    <x v="1"/>
    <x v="16"/>
    <x v="0"/>
    <n v="12"/>
  </r>
  <r>
    <s v="DH128 "/>
    <s v=" Quach Minh Cuong "/>
    <n v="926937148"/>
    <n v="6990000"/>
    <n v="2"/>
    <n v="13980000"/>
    <d v="2024-12-20T00:00:00"/>
    <x v="0"/>
    <x v="0"/>
    <x v="18"/>
    <x v="6"/>
    <n v="12"/>
  </r>
  <r>
    <s v="DH056 "/>
    <s v=" Bui Hoang Tam "/>
    <n v="994120751"/>
    <n v="9990000"/>
    <n v="1"/>
    <n v="9990000"/>
    <d v="2024-12-09T00:00:00"/>
    <x v="1"/>
    <x v="0"/>
    <x v="0"/>
    <x v="9"/>
    <n v="12"/>
  </r>
  <r>
    <s v="DH275 "/>
    <s v=" Tang Hoang Phuong "/>
    <n v="961100987"/>
    <n v="15990000"/>
    <n v="2"/>
    <n v="31980000"/>
    <d v="2024-12-05T00:00:00"/>
    <x v="2"/>
    <x v="0"/>
    <x v="5"/>
    <x v="1"/>
    <n v="12"/>
  </r>
  <r>
    <s v="DH185 "/>
    <s v=" Tang Minh Uy "/>
    <n v="959251188"/>
    <n v="8990000"/>
    <n v="2"/>
    <n v="17980000"/>
    <d v="2024-11-12T00:00:00"/>
    <x v="2"/>
    <x v="2"/>
    <x v="22"/>
    <x v="2"/>
    <n v="11"/>
  </r>
  <r>
    <s v="DH279 "/>
    <s v=" Do Ngoc Minh "/>
    <n v="933842070"/>
    <n v="8990000"/>
    <n v="2"/>
    <n v="17980000"/>
    <d v="2024-12-31T00:00:00"/>
    <x v="1"/>
    <x v="2"/>
    <x v="22"/>
    <x v="8"/>
    <n v="12"/>
  </r>
  <r>
    <s v="DH215 "/>
    <s v=" Chau Hoang Phuc "/>
    <n v="952111160"/>
    <n v="15990000"/>
    <n v="2"/>
    <n v="31980000"/>
    <d v="2024-12-15T00:00:00"/>
    <x v="0"/>
    <x v="0"/>
    <x v="5"/>
    <x v="6"/>
    <n v="12"/>
  </r>
  <r>
    <s v="DH260 "/>
    <s v=" La Hoang Quynh "/>
    <n v="911590610"/>
    <n v="12500000"/>
    <n v="2"/>
    <n v="25000000"/>
    <d v="2024-12-17T00:00:00"/>
    <x v="2"/>
    <x v="0"/>
    <x v="19"/>
    <x v="6"/>
    <n v="12"/>
  </r>
  <r>
    <s v="DH274 "/>
    <s v=" Quach Thanh Phuc "/>
    <n v="911656329"/>
    <n v="12500000"/>
    <n v="1"/>
    <n v="12500000"/>
    <d v="2024-12-14T00:00:00"/>
    <x v="2"/>
    <x v="2"/>
    <x v="8"/>
    <x v="9"/>
    <n v="12"/>
  </r>
  <r>
    <s v="DH206 "/>
    <s v=" Duong Ngoc Van "/>
    <n v="947543473"/>
    <n v="80000"/>
    <n v="1"/>
    <n v="80000"/>
    <d v="2024-12-22T00:00:00"/>
    <x v="1"/>
    <x v="1"/>
    <x v="4"/>
    <x v="0"/>
    <n v="12"/>
  </r>
  <r>
    <s v="DH246 "/>
    <s v=" Tang Minh Quynh "/>
    <n v="984605013"/>
    <n v="150000"/>
    <n v="4"/>
    <n v="600000"/>
    <d v="2024-12-02T00:00:00"/>
    <x v="1"/>
    <x v="1"/>
    <x v="15"/>
    <x v="1"/>
    <n v="12"/>
  </r>
  <r>
    <s v="DH230 "/>
    <s v=" Tang Van Kien "/>
    <n v="997735896"/>
    <n v="9990000"/>
    <n v="1"/>
    <n v="9990000"/>
    <d v="2024-12-23T00:00:00"/>
    <x v="1"/>
    <x v="2"/>
    <x v="13"/>
    <x v="0"/>
    <n v="12"/>
  </r>
  <r>
    <s v="DH194 "/>
    <s v=" Dinh Thi Kien "/>
    <n v="936347197"/>
    <n v="3990000"/>
    <n v="3"/>
    <n v="11970000"/>
    <d v="2024-12-31T00:00:00"/>
    <x v="0"/>
    <x v="1"/>
    <x v="16"/>
    <x v="8"/>
    <n v="12"/>
  </r>
  <r>
    <s v="DH217 "/>
    <s v=" Dinh Hong Tam "/>
    <n v="952552488"/>
    <n v="150000"/>
    <n v="3"/>
    <n v="450000"/>
    <d v="2024-12-12T00:00:00"/>
    <x v="0"/>
    <x v="1"/>
    <x v="15"/>
    <x v="9"/>
    <n v="12"/>
  </r>
  <r>
    <s v="DH079 "/>
    <s v=" Chau Thi An "/>
    <n v="987049595"/>
    <n v="12500000"/>
    <n v="2"/>
    <n v="25000000"/>
    <d v="2024-12-16T00:00:00"/>
    <x v="2"/>
    <x v="2"/>
    <x v="8"/>
    <x v="6"/>
    <n v="12"/>
  </r>
  <r>
    <s v="DH130 "/>
    <s v=" Do Kim Son "/>
    <n v="940667888"/>
    <n v="8900000"/>
    <n v="2"/>
    <n v="17800000"/>
    <d v="2024-12-11T00:00:00"/>
    <x v="1"/>
    <x v="2"/>
    <x v="9"/>
    <x v="9"/>
    <n v="12"/>
  </r>
  <r>
    <s v="DH124 "/>
    <s v=" Pham Van Em "/>
    <n v="911994519"/>
    <n v="9990000"/>
    <n v="2"/>
    <n v="19980000"/>
    <d v="2024-12-26T00:00:00"/>
    <x v="2"/>
    <x v="2"/>
    <x v="13"/>
    <x v="0"/>
    <n v="12"/>
  </r>
  <r>
    <s v="DH156 "/>
    <s v=" Quach Van Minh "/>
    <n v="918846539"/>
    <n v="18490000"/>
    <n v="2"/>
    <n v="36980000"/>
    <d v="2024-04-12T00:00:00"/>
    <x v="0"/>
    <x v="2"/>
    <x v="7"/>
    <x v="12"/>
    <n v="4"/>
  </r>
  <r>
    <s v="DH072 "/>
    <s v=" Vu Ngoc Giang "/>
    <n v="957623800"/>
    <n v="6990000"/>
    <n v="2"/>
    <n v="13980000"/>
    <d v="2024-12-11T00:00:00"/>
    <x v="2"/>
    <x v="0"/>
    <x v="18"/>
    <x v="9"/>
    <n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5E6DED-46AD-4654-AA23-534D2B088854}" name="PivotTable5"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M29:N55" firstHeaderRow="1" firstDataRow="1" firstDataCol="1"/>
  <pivotFields count="12">
    <pivotField showAll="0"/>
    <pivotField showAll="0"/>
    <pivotField numFmtId="164" showAll="0"/>
    <pivotField numFmtId="1" showAll="0"/>
    <pivotField dataField="1" numFmtId="1" showAll="0"/>
    <pivotField numFmtId="1" showAll="0"/>
    <pivotField numFmtId="14" showAll="0"/>
    <pivotField showAll="0">
      <items count="4">
        <item x="2"/>
        <item x="1"/>
        <item x="0"/>
        <item t="default"/>
      </items>
    </pivotField>
    <pivotField showAll="0">
      <items count="4">
        <item x="0"/>
        <item x="2"/>
        <item x="1"/>
        <item t="default"/>
      </items>
    </pivotField>
    <pivotField axis="axisRow" showAll="0" sortType="descending">
      <items count="26">
        <item x="16"/>
        <item x="17"/>
        <item x="21"/>
        <item x="15"/>
        <item x="12"/>
        <item x="7"/>
        <item x="8"/>
        <item x="19"/>
        <item x="24"/>
        <item x="6"/>
        <item x="9"/>
        <item x="4"/>
        <item x="1"/>
        <item x="2"/>
        <item x="18"/>
        <item x="20"/>
        <item x="11"/>
        <item x="3"/>
        <item x="14"/>
        <item x="13"/>
        <item x="23"/>
        <item x="10"/>
        <item x="0"/>
        <item x="5"/>
        <item x="22"/>
        <item t="default"/>
      </items>
      <autoSortScope>
        <pivotArea dataOnly="0" outline="0" fieldPosition="0">
          <references count="1">
            <reference field="4294967294" count="1" selected="0">
              <x v="0"/>
            </reference>
          </references>
        </pivotArea>
      </autoSortScope>
    </pivotField>
    <pivotField showAll="0"/>
    <pivotField showAll="0"/>
  </pivotFields>
  <rowFields count="1">
    <field x="9"/>
  </rowFields>
  <rowItems count="26">
    <i>
      <x v="16"/>
    </i>
    <i>
      <x v="3"/>
    </i>
    <i>
      <x v="4"/>
    </i>
    <i>
      <x v="1"/>
    </i>
    <i>
      <x v="21"/>
    </i>
    <i>
      <x/>
    </i>
    <i>
      <x v="2"/>
    </i>
    <i>
      <x v="10"/>
    </i>
    <i>
      <x v="23"/>
    </i>
    <i>
      <x v="15"/>
    </i>
    <i>
      <x v="6"/>
    </i>
    <i>
      <x v="12"/>
    </i>
    <i>
      <x v="22"/>
    </i>
    <i>
      <x v="24"/>
    </i>
    <i>
      <x v="20"/>
    </i>
    <i>
      <x v="9"/>
    </i>
    <i>
      <x v="19"/>
    </i>
    <i>
      <x v="8"/>
    </i>
    <i>
      <x v="11"/>
    </i>
    <i>
      <x v="7"/>
    </i>
    <i>
      <x v="14"/>
    </i>
    <i>
      <x v="17"/>
    </i>
    <i>
      <x v="18"/>
    </i>
    <i>
      <x v="5"/>
    </i>
    <i>
      <x v="13"/>
    </i>
    <i t="grand">
      <x/>
    </i>
  </rowItems>
  <colItems count="1">
    <i/>
  </colItems>
  <dataFields count="1">
    <dataField name="Sum of Số lượng "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29C422-DE14-4B0D-BF73-E4FA3D3B60DA}" name="PivotTable4"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M3:O19" firstHeaderRow="0" firstDataRow="1" firstDataCol="1"/>
  <pivotFields count="12">
    <pivotField showAll="0"/>
    <pivotField showAll="0"/>
    <pivotField numFmtId="164" showAll="0"/>
    <pivotField numFmtId="1" showAll="0"/>
    <pivotField dataField="1" numFmtId="1" showAll="0"/>
    <pivotField dataField="1" numFmtId="1" showAll="0"/>
    <pivotField numFmtId="14" showAll="0"/>
    <pivotField showAll="0">
      <items count="4">
        <item x="2"/>
        <item x="1"/>
        <item x="0"/>
        <item t="default"/>
      </items>
    </pivotField>
    <pivotField showAll="0">
      <items count="4">
        <item x="0"/>
        <item x="2"/>
        <item x="1"/>
        <item t="default"/>
      </items>
    </pivotField>
    <pivotField showAll="0"/>
    <pivotField axis="axisRow" showAll="0">
      <items count="16">
        <item x="7"/>
        <item x="5"/>
        <item x="11"/>
        <item x="12"/>
        <item x="3"/>
        <item x="14"/>
        <item x="4"/>
        <item x="13"/>
        <item x="10"/>
        <item x="2"/>
        <item x="1"/>
        <item x="9"/>
        <item x="6"/>
        <item x="0"/>
        <item x="8"/>
        <item t="default"/>
      </items>
    </pivotField>
    <pivotField showAll="0"/>
  </pivotFields>
  <rowFields count="1">
    <field x="10"/>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Số lượng " fld="4" baseField="0" baseItem="0"/>
    <dataField name="Sum of Doanh_Thu" fld="5" baseField="0" baseItem="0" numFmtId="165"/>
  </dataFields>
  <formats count="1">
    <format dxfId="17">
      <pivotArea outline="0" collapsedLevelsAreSubtotals="1" fieldPosition="0">
        <references count="1">
          <reference field="4294967294" count="1" selected="0">
            <x v="1"/>
          </reference>
        </references>
      </pivotArea>
    </format>
  </formats>
  <chartFormats count="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882CA3-24DF-45AE-A119-19FAEB035417}" name="PivotTable3"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29:B33" firstHeaderRow="1" firstDataRow="1" firstDataCol="1"/>
  <pivotFields count="12">
    <pivotField showAll="0"/>
    <pivotField showAll="0"/>
    <pivotField numFmtId="164" showAll="0"/>
    <pivotField numFmtId="1" showAll="0"/>
    <pivotField numFmtId="1" showAll="0"/>
    <pivotField dataField="1" numFmtId="1" showAll="0"/>
    <pivotField numFmtId="14" showAll="0"/>
    <pivotField showAll="0">
      <items count="4">
        <item x="2"/>
        <item x="1"/>
        <item x="0"/>
        <item t="default"/>
      </items>
    </pivotField>
    <pivotField axis="axisRow" showAll="0">
      <items count="4">
        <item x="0"/>
        <item x="2"/>
        <item x="1"/>
        <item t="default"/>
      </items>
    </pivotField>
    <pivotField showAll="0"/>
    <pivotField showAll="0"/>
    <pivotField showAll="0"/>
  </pivotFields>
  <rowFields count="1">
    <field x="8"/>
  </rowFields>
  <rowItems count="4">
    <i>
      <x/>
    </i>
    <i>
      <x v="1"/>
    </i>
    <i>
      <x v="2"/>
    </i>
    <i t="grand">
      <x/>
    </i>
  </rowItems>
  <colItems count="1">
    <i/>
  </colItems>
  <dataFields count="1">
    <dataField name="Sum of Doanh_Thu" fld="5" baseField="0" baseItem="0" numFmtId="165"/>
  </dataFields>
  <formats count="1">
    <format dxfId="18">
      <pivotArea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8" count="1" selected="0">
            <x v="0"/>
          </reference>
        </references>
      </pivotArea>
    </chartFormat>
    <chartFormat chart="4" format="7">
      <pivotArea type="data" outline="0" fieldPosition="0">
        <references count="2">
          <reference field="4294967294" count="1" selected="0">
            <x v="0"/>
          </reference>
          <reference field="8" count="1" selected="0">
            <x v="1"/>
          </reference>
        </references>
      </pivotArea>
    </chartFormat>
    <chartFormat chart="4" format="8">
      <pivotArea type="data" outline="0" fieldPosition="0">
        <references count="2">
          <reference field="4294967294" count="1" selected="0">
            <x v="0"/>
          </reference>
          <reference field="8" count="1" selected="0">
            <x v="2"/>
          </reference>
        </references>
      </pivotArea>
    </chartFormat>
    <chartFormat chart="1" format="1">
      <pivotArea type="data" outline="0" fieldPosition="0">
        <references count="2">
          <reference field="4294967294" count="1" selected="0">
            <x v="0"/>
          </reference>
          <reference field="8" count="1" selected="0">
            <x v="0"/>
          </reference>
        </references>
      </pivotArea>
    </chartFormat>
    <chartFormat chart="1" format="2">
      <pivotArea type="data" outline="0" fieldPosition="0">
        <references count="2">
          <reference field="4294967294" count="1" selected="0">
            <x v="0"/>
          </reference>
          <reference field="8" count="1" selected="0">
            <x v="1"/>
          </reference>
        </references>
      </pivotArea>
    </chartFormat>
    <chartFormat chart="1"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881F07-3539-45CA-873C-E1A371E98A3B}" name="PivotTable1"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7" firstHeaderRow="1" firstDataRow="1" firstDataCol="1"/>
  <pivotFields count="12">
    <pivotField showAll="0"/>
    <pivotField showAll="0"/>
    <pivotField numFmtId="164" showAll="0"/>
    <pivotField numFmtId="1" showAll="0"/>
    <pivotField numFmtId="1" showAll="0"/>
    <pivotField dataField="1" numFmtId="1" showAll="0"/>
    <pivotField numFmtId="14"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pivotField showAll="0"/>
  </pivotFields>
  <rowFields count="1">
    <field x="7"/>
  </rowFields>
  <rowItems count="4">
    <i>
      <x/>
    </i>
    <i>
      <x v="2"/>
    </i>
    <i>
      <x v="1"/>
    </i>
    <i t="grand">
      <x/>
    </i>
  </rowItems>
  <colItems count="1">
    <i/>
  </colItems>
  <dataFields count="1">
    <dataField name="Sum of Doanh_Thu" fld="5" baseField="0" baseItem="0" numFmtId="165"/>
  </dataFields>
  <formats count="1">
    <format dxfId="19">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_Nhanh" xr10:uid="{541B1C15-F6FC-4EF4-89FB-9B7AD07E426F}" sourceName="Chi_Nhanh">
  <pivotTables>
    <pivotTable tabId="2" name="PivotTable1"/>
    <pivotTable tabId="2" name="PivotTable4"/>
    <pivotTable tabId="2" name="PivotTable5"/>
    <pivotTable tabId="2" name="PivotTable3"/>
  </pivotTables>
  <data>
    <tabular pivotCacheId="150774060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nh_Muc" xr10:uid="{7FB12C90-EC8C-4A98-BB68-62ACCCD4B05D}" sourceName="Danh_Muc">
  <pivotTables>
    <pivotTable tabId="2" name="PivotTable1"/>
    <pivotTable tabId="2" name="PivotTable4"/>
    <pivotTable tabId="2" name="PivotTable5"/>
    <pivotTable tabId="2" name="PivotTable3"/>
  </pivotTables>
  <data>
    <tabular pivotCacheId="150774060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i_Nhanh" xr10:uid="{53BAE29D-B6A2-4DE7-BC0C-99961DD44B4F}" cache="Slicer_Chi_Nhanh" caption="Chi_Nhanh" rowHeight="234950"/>
  <slicer name="Danh_Muc" xr10:uid="{900730AD-AFBD-4FA1-BBE1-31BBB156DB32}" cache="Slicer_Danh_Muc" caption="Danh_Muc"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i_Nhanh 1" xr10:uid="{082D9833-2968-4F56-93A5-D97AC2FEF52F}" cache="Slicer_Chi_Nhanh" caption="Chi_Nhanh" rowHeight="234950"/>
  <slicer name="Danh_Muc 1" xr10:uid="{4FD0C8E9-2361-413E-A329-199805F0AFCE}" cache="Slicer_Danh_Muc" caption="Danh_Muc"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490FF5-00A2-4438-8709-D50F18E56B85}" name="Table2" displayName="Table2" ref="A1:L281" totalsRowShown="0" headerRowDxfId="16" dataDxfId="14" headerRowBorderDxfId="15" tableBorderDxfId="13" totalsRowBorderDxfId="12">
  <autoFilter ref="A1:L281" xr:uid="{08915EFF-77AF-40B2-8603-BE539705C907}"/>
  <tableColumns count="12">
    <tableColumn id="1" xr3:uid="{0B6319D2-6E6C-487D-9C67-5F50CFDC1B74}" name="Ma_Don" dataDxfId="11"/>
    <tableColumn id="2" xr3:uid="{1D0DA98E-6DAC-4AA5-AE2C-0FAD67D6C30A}" name="Ten_Khach" dataDxfId="10"/>
    <tableColumn id="3" xr3:uid="{9C0334A1-3991-43AB-9A13-BB10FBB5E1E9}" name="SDTC" dataDxfId="9"/>
    <tableColumn id="4" xr3:uid="{09E5F632-CB8E-409B-B9C5-B1E049EBB3BF}" name="Giá bán" dataDxfId="8" dataCellStyle="Currency"/>
    <tableColumn id="5" xr3:uid="{D14EB1F0-6B2F-4A01-BF33-584833E7BFF4}" name="Số lượng " dataDxfId="7"/>
    <tableColumn id="10" xr3:uid="{C3A966D0-85BE-44A3-9CFF-3CF6C87DD452}" name="Doanh_Thu" dataDxfId="6">
      <calculatedColumnFormula>Table2[[#This Row],[Số lượng ]]*Table2[[#This Row],[Giá bán]]</calculatedColumnFormula>
    </tableColumn>
    <tableColumn id="6" xr3:uid="{07925686-7D93-489B-8C3F-235F4FE0681F}" name="Date" dataDxfId="5"/>
    <tableColumn id="7" xr3:uid="{3CCFC6D1-84FC-49A5-9B1C-23F926C09A3B}" name="Chi_Nhanh" dataDxfId="4"/>
    <tableColumn id="8" xr3:uid="{D41114DD-86DE-4B6E-8DBD-434A967FE1CB}" name="Danh_Muc" dataDxfId="3"/>
    <tableColumn id="9" xr3:uid="{1A17B554-7013-4A53-B6DB-6500940A5E36}" name="Ten_SP" dataDxfId="2"/>
    <tableColumn id="11" xr3:uid="{530707D6-F1CB-498F-90F6-FEF8298C331F}" name="Tuan" dataDxfId="1">
      <calculatedColumnFormula>WEEKNUM(Table2[[#This Row],[Date]])</calculatedColumnFormula>
    </tableColumn>
    <tableColumn id="12" xr3:uid="{FF178EBF-4065-4A27-A91B-FB4C0BC1C95B}" name="Thang" dataDxfId="0">
      <calculatedColumnFormula>MONTH(Table2[[#This Row],[Date]])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4AAFC-C7E3-40B2-B027-DB572429775E}">
  <dimension ref="A3:O55"/>
  <sheetViews>
    <sheetView zoomScale="40" zoomScaleNormal="40" workbookViewId="0">
      <selection activeCell="F60" sqref="F60"/>
    </sheetView>
  </sheetViews>
  <sheetFormatPr defaultRowHeight="14.4" x14ac:dyDescent="0.3"/>
  <cols>
    <col min="1" max="1" width="15.5546875" bestFit="1" customWidth="1"/>
    <col min="2" max="2" width="17.6640625" bestFit="1" customWidth="1"/>
    <col min="6" max="6" width="15.88671875" bestFit="1" customWidth="1"/>
    <col min="13" max="13" width="22.44140625" bestFit="1" customWidth="1"/>
    <col min="14" max="14" width="16.33203125" bestFit="1" customWidth="1"/>
    <col min="15" max="15" width="17.6640625" bestFit="1" customWidth="1"/>
  </cols>
  <sheetData>
    <row r="3" spans="1:15" x14ac:dyDescent="0.3">
      <c r="A3" s="11" t="s">
        <v>594</v>
      </c>
      <c r="B3" t="s">
        <v>596</v>
      </c>
      <c r="M3" s="11" t="s">
        <v>594</v>
      </c>
      <c r="N3" t="s">
        <v>597</v>
      </c>
      <c r="O3" t="s">
        <v>596</v>
      </c>
    </row>
    <row r="4" spans="1:15" x14ac:dyDescent="0.3">
      <c r="A4" s="12" t="s">
        <v>13</v>
      </c>
      <c r="B4" s="15">
        <v>1553930000</v>
      </c>
      <c r="M4" s="12">
        <v>2</v>
      </c>
      <c r="N4" s="13">
        <v>7</v>
      </c>
      <c r="O4" s="15">
        <v>38090000</v>
      </c>
    </row>
    <row r="5" spans="1:15" x14ac:dyDescent="0.3">
      <c r="A5" s="12" t="s">
        <v>4</v>
      </c>
      <c r="B5" s="15">
        <v>1392260000</v>
      </c>
      <c r="M5" s="12">
        <v>7</v>
      </c>
      <c r="N5" s="13">
        <v>20</v>
      </c>
      <c r="O5" s="15">
        <v>205160000</v>
      </c>
    </row>
    <row r="6" spans="1:15" x14ac:dyDescent="0.3">
      <c r="A6" s="12" t="s">
        <v>7</v>
      </c>
      <c r="B6" s="15">
        <v>1345470000</v>
      </c>
      <c r="M6" s="12">
        <v>11</v>
      </c>
      <c r="N6" s="13">
        <v>13</v>
      </c>
      <c r="O6" s="15">
        <v>131190000</v>
      </c>
    </row>
    <row r="7" spans="1:15" x14ac:dyDescent="0.3">
      <c r="A7" s="12" t="s">
        <v>595</v>
      </c>
      <c r="B7" s="15">
        <v>4291660000</v>
      </c>
      <c r="M7" s="12">
        <v>15</v>
      </c>
      <c r="N7" s="13">
        <v>19</v>
      </c>
      <c r="O7" s="15">
        <v>122170000</v>
      </c>
    </row>
    <row r="8" spans="1:15" x14ac:dyDescent="0.3">
      <c r="M8" s="12">
        <v>20</v>
      </c>
      <c r="N8" s="13">
        <v>15</v>
      </c>
      <c r="O8" s="15">
        <v>84810000</v>
      </c>
    </row>
    <row r="9" spans="1:15" x14ac:dyDescent="0.3">
      <c r="M9" s="12">
        <v>28</v>
      </c>
      <c r="N9" s="13">
        <v>4</v>
      </c>
      <c r="O9" s="15">
        <v>41960000</v>
      </c>
    </row>
    <row r="10" spans="1:15" x14ac:dyDescent="0.3">
      <c r="M10" s="12">
        <v>33</v>
      </c>
      <c r="N10" s="13">
        <v>12</v>
      </c>
      <c r="O10" s="15">
        <v>107860000</v>
      </c>
    </row>
    <row r="11" spans="1:15" x14ac:dyDescent="0.3">
      <c r="M11" s="12">
        <v>37</v>
      </c>
      <c r="N11" s="13">
        <v>11</v>
      </c>
      <c r="O11" s="15">
        <v>66950000</v>
      </c>
    </row>
    <row r="12" spans="1:15" x14ac:dyDescent="0.3">
      <c r="M12" s="12">
        <v>41</v>
      </c>
      <c r="N12" s="13">
        <v>6</v>
      </c>
      <c r="O12" s="15">
        <v>41140000</v>
      </c>
    </row>
    <row r="13" spans="1:15" x14ac:dyDescent="0.3">
      <c r="M13" s="12">
        <v>46</v>
      </c>
      <c r="N13" s="13">
        <v>15</v>
      </c>
      <c r="O13" s="15">
        <v>183600000</v>
      </c>
    </row>
    <row r="14" spans="1:15" x14ac:dyDescent="0.3">
      <c r="M14" s="12">
        <v>49</v>
      </c>
      <c r="N14" s="13">
        <v>59</v>
      </c>
      <c r="O14" s="15">
        <v>294150000</v>
      </c>
    </row>
    <row r="15" spans="1:15" x14ac:dyDescent="0.3">
      <c r="M15" s="12">
        <v>50</v>
      </c>
      <c r="N15" s="13">
        <v>77</v>
      </c>
      <c r="O15" s="15">
        <v>538110000</v>
      </c>
    </row>
    <row r="16" spans="1:15" x14ac:dyDescent="0.3">
      <c r="M16" s="12">
        <v>51</v>
      </c>
      <c r="N16" s="13">
        <v>150</v>
      </c>
      <c r="O16" s="15">
        <v>1007250000</v>
      </c>
    </row>
    <row r="17" spans="1:15" x14ac:dyDescent="0.3">
      <c r="M17" s="12">
        <v>52</v>
      </c>
      <c r="N17" s="13">
        <v>143</v>
      </c>
      <c r="O17" s="15">
        <v>1048420000</v>
      </c>
    </row>
    <row r="18" spans="1:15" x14ac:dyDescent="0.3">
      <c r="M18" s="12">
        <v>53</v>
      </c>
      <c r="N18" s="13">
        <v>55</v>
      </c>
      <c r="O18" s="15">
        <v>380800000</v>
      </c>
    </row>
    <row r="19" spans="1:15" x14ac:dyDescent="0.3">
      <c r="M19" s="12" t="s">
        <v>595</v>
      </c>
      <c r="N19" s="13">
        <v>606</v>
      </c>
      <c r="O19" s="15">
        <v>4291660000</v>
      </c>
    </row>
    <row r="29" spans="1:15" x14ac:dyDescent="0.3">
      <c r="A29" s="11" t="s">
        <v>594</v>
      </c>
      <c r="B29" t="s">
        <v>596</v>
      </c>
      <c r="M29" s="11" t="s">
        <v>594</v>
      </c>
      <c r="N29" t="s">
        <v>597</v>
      </c>
    </row>
    <row r="30" spans="1:15" x14ac:dyDescent="0.3">
      <c r="A30" s="12" t="s">
        <v>5</v>
      </c>
      <c r="B30" s="15">
        <v>2637160000</v>
      </c>
      <c r="M30" s="12" t="s">
        <v>21</v>
      </c>
      <c r="N30" s="13">
        <v>47</v>
      </c>
    </row>
    <row r="31" spans="1:15" x14ac:dyDescent="0.3">
      <c r="A31" s="12" t="s">
        <v>16</v>
      </c>
      <c r="B31" s="15">
        <v>1136790000</v>
      </c>
      <c r="M31" s="12" t="s">
        <v>25</v>
      </c>
      <c r="N31" s="13">
        <v>45</v>
      </c>
    </row>
    <row r="32" spans="1:15" x14ac:dyDescent="0.3">
      <c r="A32" s="12" t="s">
        <v>8</v>
      </c>
      <c r="B32" s="15">
        <v>517710000</v>
      </c>
      <c r="M32" s="12" t="s">
        <v>22</v>
      </c>
      <c r="N32" s="13">
        <v>45</v>
      </c>
    </row>
    <row r="33" spans="1:14" x14ac:dyDescent="0.3">
      <c r="A33" s="12" t="s">
        <v>595</v>
      </c>
      <c r="B33" s="15">
        <v>4291660000</v>
      </c>
      <c r="M33" s="12" t="s">
        <v>27</v>
      </c>
      <c r="N33" s="13">
        <v>35</v>
      </c>
    </row>
    <row r="34" spans="1:14" x14ac:dyDescent="0.3">
      <c r="M34" s="12" t="s">
        <v>20</v>
      </c>
      <c r="N34" s="13">
        <v>33</v>
      </c>
    </row>
    <row r="35" spans="1:14" x14ac:dyDescent="0.3">
      <c r="M35" s="12" t="s">
        <v>26</v>
      </c>
      <c r="N35" s="13">
        <v>30</v>
      </c>
    </row>
    <row r="36" spans="1:14" x14ac:dyDescent="0.3">
      <c r="M36" s="12" t="s">
        <v>31</v>
      </c>
      <c r="N36" s="13">
        <v>29</v>
      </c>
    </row>
    <row r="37" spans="1:14" x14ac:dyDescent="0.3">
      <c r="M37" s="12" t="s">
        <v>19</v>
      </c>
      <c r="N37" s="13">
        <v>27</v>
      </c>
    </row>
    <row r="38" spans="1:14" x14ac:dyDescent="0.3">
      <c r="M38" s="12" t="s">
        <v>14</v>
      </c>
      <c r="N38" s="13">
        <v>26</v>
      </c>
    </row>
    <row r="39" spans="1:14" x14ac:dyDescent="0.3">
      <c r="M39" s="12" t="s">
        <v>30</v>
      </c>
      <c r="N39" s="13">
        <v>26</v>
      </c>
    </row>
    <row r="40" spans="1:14" x14ac:dyDescent="0.3">
      <c r="M40" s="12" t="s">
        <v>18</v>
      </c>
      <c r="N40" s="13">
        <v>26</v>
      </c>
    </row>
    <row r="41" spans="1:14" x14ac:dyDescent="0.3">
      <c r="M41" s="12" t="s">
        <v>9</v>
      </c>
      <c r="N41" s="13">
        <v>25</v>
      </c>
    </row>
    <row r="42" spans="1:14" x14ac:dyDescent="0.3">
      <c r="M42" s="12" t="s">
        <v>6</v>
      </c>
      <c r="N42" s="13">
        <v>24</v>
      </c>
    </row>
    <row r="43" spans="1:14" x14ac:dyDescent="0.3">
      <c r="M43" s="12" t="s">
        <v>32</v>
      </c>
      <c r="N43" s="13">
        <v>23</v>
      </c>
    </row>
    <row r="44" spans="1:14" x14ac:dyDescent="0.3">
      <c r="M44" s="12" t="s">
        <v>33</v>
      </c>
      <c r="N44" s="13">
        <v>22</v>
      </c>
    </row>
    <row r="45" spans="1:14" x14ac:dyDescent="0.3">
      <c r="M45" s="12" t="s">
        <v>15</v>
      </c>
      <c r="N45" s="13">
        <v>20</v>
      </c>
    </row>
    <row r="46" spans="1:14" x14ac:dyDescent="0.3">
      <c r="M46" s="12" t="s">
        <v>23</v>
      </c>
      <c r="N46" s="13">
        <v>18</v>
      </c>
    </row>
    <row r="47" spans="1:14" x14ac:dyDescent="0.3">
      <c r="M47" s="12" t="s">
        <v>34</v>
      </c>
      <c r="N47" s="13">
        <v>16</v>
      </c>
    </row>
    <row r="48" spans="1:14" x14ac:dyDescent="0.3">
      <c r="M48" s="12" t="s">
        <v>12</v>
      </c>
      <c r="N48" s="13">
        <v>16</v>
      </c>
    </row>
    <row r="49" spans="13:14" x14ac:dyDescent="0.3">
      <c r="M49" s="12" t="s">
        <v>29</v>
      </c>
      <c r="N49" s="13">
        <v>15</v>
      </c>
    </row>
    <row r="50" spans="13:14" x14ac:dyDescent="0.3">
      <c r="M50" s="12" t="s">
        <v>28</v>
      </c>
      <c r="N50" s="13">
        <v>13</v>
      </c>
    </row>
    <row r="51" spans="13:14" x14ac:dyDescent="0.3">
      <c r="M51" s="12" t="s">
        <v>11</v>
      </c>
      <c r="N51" s="13">
        <v>13</v>
      </c>
    </row>
    <row r="52" spans="13:14" x14ac:dyDescent="0.3">
      <c r="M52" s="12" t="s">
        <v>24</v>
      </c>
      <c r="N52" s="13">
        <v>13</v>
      </c>
    </row>
    <row r="53" spans="13:14" x14ac:dyDescent="0.3">
      <c r="M53" s="12" t="s">
        <v>17</v>
      </c>
      <c r="N53" s="13">
        <v>10</v>
      </c>
    </row>
    <row r="54" spans="13:14" x14ac:dyDescent="0.3">
      <c r="M54" s="12" t="s">
        <v>10</v>
      </c>
      <c r="N54" s="13">
        <v>9</v>
      </c>
    </row>
    <row r="55" spans="13:14" x14ac:dyDescent="0.3">
      <c r="M55" s="12" t="s">
        <v>595</v>
      </c>
      <c r="N55" s="13">
        <v>606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2D8D3-2D7C-47C7-AC98-FC902C973F63}">
  <dimension ref="A1:O3"/>
  <sheetViews>
    <sheetView showGridLines="0" tabSelected="1" zoomScale="55" zoomScaleNormal="55" workbookViewId="0">
      <selection activeCell="Q52" sqref="Q52"/>
    </sheetView>
  </sheetViews>
  <sheetFormatPr defaultColWidth="8.77734375" defaultRowHeight="14.4" x14ac:dyDescent="0.3"/>
  <cols>
    <col min="1" max="16384" width="8.77734375" style="17"/>
  </cols>
  <sheetData>
    <row r="1" spans="1:15" x14ac:dyDescent="0.3">
      <c r="A1" s="18" t="s">
        <v>602</v>
      </c>
      <c r="B1" s="19"/>
      <c r="C1" s="19"/>
      <c r="D1" s="19"/>
      <c r="E1" s="19"/>
      <c r="F1" s="19"/>
      <c r="G1" s="19"/>
      <c r="H1" s="19"/>
      <c r="I1" s="19"/>
      <c r="J1" s="19"/>
      <c r="K1" s="19"/>
      <c r="L1" s="19"/>
      <c r="M1" s="19"/>
      <c r="N1" s="19"/>
      <c r="O1" s="19"/>
    </row>
    <row r="2" spans="1:15" x14ac:dyDescent="0.3">
      <c r="A2" s="19"/>
      <c r="B2" s="19"/>
      <c r="C2" s="19"/>
      <c r="D2" s="19"/>
      <c r="E2" s="19"/>
      <c r="F2" s="19"/>
      <c r="G2" s="19"/>
      <c r="H2" s="19"/>
      <c r="I2" s="19"/>
      <c r="J2" s="19"/>
      <c r="K2" s="19"/>
      <c r="L2" s="19"/>
      <c r="M2" s="19"/>
      <c r="N2" s="19"/>
      <c r="O2" s="19"/>
    </row>
    <row r="3" spans="1:15" x14ac:dyDescent="0.3">
      <c r="A3" s="19"/>
      <c r="B3" s="19"/>
      <c r="C3" s="19"/>
      <c r="D3" s="19"/>
      <c r="E3" s="19"/>
      <c r="F3" s="19"/>
      <c r="G3" s="19"/>
      <c r="H3" s="19"/>
      <c r="I3" s="19"/>
      <c r="J3" s="19"/>
      <c r="K3" s="19"/>
      <c r="L3" s="19"/>
      <c r="M3" s="19"/>
      <c r="N3" s="19"/>
      <c r="O3" s="19"/>
    </row>
  </sheetData>
  <mergeCells count="1">
    <mergeCell ref="A1:O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B980D-C758-490D-B999-001845CCF740}">
  <dimension ref="A1:B4"/>
  <sheetViews>
    <sheetView workbookViewId="0">
      <selection activeCell="B4" sqref="B4"/>
    </sheetView>
  </sheetViews>
  <sheetFormatPr defaultRowHeight="14.4" x14ac:dyDescent="0.3"/>
  <cols>
    <col min="1" max="1" width="28.21875" bestFit="1" customWidth="1"/>
    <col min="2" max="2" width="21.33203125" bestFit="1" customWidth="1"/>
  </cols>
  <sheetData>
    <row r="1" spans="1:2" x14ac:dyDescent="0.3">
      <c r="A1" t="s">
        <v>598</v>
      </c>
      <c r="B1" s="16">
        <v>4291660000</v>
      </c>
    </row>
    <row r="2" spans="1:2" x14ac:dyDescent="0.3">
      <c r="A2" t="s">
        <v>599</v>
      </c>
      <c r="B2">
        <v>280</v>
      </c>
    </row>
    <row r="3" spans="1:2" x14ac:dyDescent="0.3">
      <c r="A3" t="s">
        <v>600</v>
      </c>
      <c r="B3" s="14">
        <f>B1/B2</f>
        <v>15327357.142857144</v>
      </c>
    </row>
    <row r="4" spans="1:2" x14ac:dyDescent="0.3">
      <c r="A4" t="s">
        <v>601</v>
      </c>
      <c r="B4" t="s">
        <v>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15EFF-77AF-40B2-8603-BE539705C907}">
  <dimension ref="A1:L281"/>
  <sheetViews>
    <sheetView workbookViewId="0">
      <selection activeCell="N2" sqref="N2"/>
    </sheetView>
  </sheetViews>
  <sheetFormatPr defaultRowHeight="14.4" x14ac:dyDescent="0.3"/>
  <cols>
    <col min="1" max="3" width="12.6640625" customWidth="1"/>
    <col min="4" max="4" width="13.44140625" bestFit="1" customWidth="1"/>
    <col min="5" max="5" width="9.44140625" bestFit="1" customWidth="1"/>
    <col min="6" max="6" width="10.33203125" customWidth="1"/>
    <col min="7" max="7" width="14.33203125" customWidth="1"/>
    <col min="8" max="8" width="11" customWidth="1"/>
    <col min="9" max="9" width="10.88671875" customWidth="1"/>
    <col min="14" max="14" width="23.6640625" customWidth="1"/>
  </cols>
  <sheetData>
    <row r="1" spans="1:12" ht="29.4" thickBot="1" x14ac:dyDescent="0.35">
      <c r="A1" s="6" t="s">
        <v>586</v>
      </c>
      <c r="B1" s="6" t="s">
        <v>587</v>
      </c>
      <c r="C1" s="6" t="s">
        <v>593</v>
      </c>
      <c r="D1" s="7" t="s">
        <v>590</v>
      </c>
      <c r="E1" s="7" t="s">
        <v>589</v>
      </c>
      <c r="F1" s="7" t="s">
        <v>588</v>
      </c>
      <c r="G1" s="7" t="s">
        <v>0</v>
      </c>
      <c r="H1" s="7" t="s">
        <v>1</v>
      </c>
      <c r="I1" s="7" t="s">
        <v>2</v>
      </c>
      <c r="J1" s="7" t="s">
        <v>3</v>
      </c>
      <c r="K1" s="10" t="s">
        <v>591</v>
      </c>
      <c r="L1" s="10" t="s">
        <v>592</v>
      </c>
    </row>
    <row r="2" spans="1:12" ht="15" thickBot="1" x14ac:dyDescent="0.35">
      <c r="A2" s="1" t="s">
        <v>306</v>
      </c>
      <c r="B2" s="1" t="s">
        <v>35</v>
      </c>
      <c r="C2" s="3">
        <v>948824283</v>
      </c>
      <c r="D2" s="5">
        <v>9990000</v>
      </c>
      <c r="E2" s="4">
        <v>2</v>
      </c>
      <c r="F2" s="4">
        <f>Table2[[#This Row],[Số lượng ]]*Table2[[#This Row],[Giá bán]]</f>
        <v>19980000</v>
      </c>
      <c r="G2" s="2">
        <v>45653</v>
      </c>
      <c r="H2" s="1" t="s">
        <v>4</v>
      </c>
      <c r="I2" s="1" t="s">
        <v>5</v>
      </c>
      <c r="J2" s="1" t="s">
        <v>6</v>
      </c>
      <c r="K2" s="9">
        <f>WEEKNUM(Table2[[#This Row],[Date]])</f>
        <v>52</v>
      </c>
      <c r="L2" s="9">
        <f>MONTH(Table2[[#This Row],[Date]])</f>
        <v>12</v>
      </c>
    </row>
    <row r="3" spans="1:12" ht="29.4" thickBot="1" x14ac:dyDescent="0.35">
      <c r="A3" s="1" t="s">
        <v>307</v>
      </c>
      <c r="B3" s="1" t="s">
        <v>36</v>
      </c>
      <c r="C3" s="3">
        <v>930261159</v>
      </c>
      <c r="D3" s="5">
        <v>350000</v>
      </c>
      <c r="E3" s="4">
        <v>4</v>
      </c>
      <c r="F3" s="4">
        <f>Table2[[#This Row],[Số lượng ]]*Table2[[#This Row],[Giá bán]]</f>
        <v>1400000</v>
      </c>
      <c r="G3" s="2">
        <v>45629</v>
      </c>
      <c r="H3" s="1" t="s">
        <v>7</v>
      </c>
      <c r="I3" s="1" t="s">
        <v>8</v>
      </c>
      <c r="J3" s="1" t="s">
        <v>9</v>
      </c>
      <c r="K3" s="1">
        <f>WEEKNUM(Table2[[#This Row],[Date]])</f>
        <v>49</v>
      </c>
      <c r="L3" s="1">
        <f>MONTH(Table2[[#This Row],[Date]])</f>
        <v>12</v>
      </c>
    </row>
    <row r="4" spans="1:12" ht="29.4" thickBot="1" x14ac:dyDescent="0.35">
      <c r="A4" s="1" t="s">
        <v>308</v>
      </c>
      <c r="B4" s="1" t="s">
        <v>37</v>
      </c>
      <c r="C4" s="3">
        <v>930456313</v>
      </c>
      <c r="D4" s="5">
        <v>18990000</v>
      </c>
      <c r="E4" s="4">
        <v>2</v>
      </c>
      <c r="F4" s="4">
        <f>Table2[[#This Row],[Số lượng ]]*Table2[[#This Row],[Giá bán]]</f>
        <v>37980000</v>
      </c>
      <c r="G4" s="2">
        <v>45608</v>
      </c>
      <c r="H4" s="1" t="s">
        <v>7</v>
      </c>
      <c r="I4" s="1" t="s">
        <v>5</v>
      </c>
      <c r="J4" s="1" t="s">
        <v>10</v>
      </c>
      <c r="K4" s="1">
        <f>WEEKNUM(Table2[[#This Row],[Date]])</f>
        <v>46</v>
      </c>
      <c r="L4" s="1">
        <f>MONTH(Table2[[#This Row],[Date]])</f>
        <v>11</v>
      </c>
    </row>
    <row r="5" spans="1:12" ht="29.4" thickBot="1" x14ac:dyDescent="0.35">
      <c r="A5" s="1" t="s">
        <v>309</v>
      </c>
      <c r="B5" s="1" t="s">
        <v>38</v>
      </c>
      <c r="C5" s="3">
        <v>942868828</v>
      </c>
      <c r="D5" s="5">
        <v>9990000</v>
      </c>
      <c r="E5" s="4">
        <v>1</v>
      </c>
      <c r="F5" s="4">
        <f>Table2[[#This Row],[Số lượng ]]*Table2[[#This Row],[Giá bán]]</f>
        <v>9990000</v>
      </c>
      <c r="G5" s="2">
        <v>45424</v>
      </c>
      <c r="H5" s="1" t="s">
        <v>4</v>
      </c>
      <c r="I5" s="1" t="s">
        <v>5</v>
      </c>
      <c r="J5" s="1" t="s">
        <v>6</v>
      </c>
      <c r="K5" s="1">
        <f>WEEKNUM(Table2[[#This Row],[Date]])</f>
        <v>20</v>
      </c>
      <c r="L5" s="1">
        <f>MONTH(Table2[[#This Row],[Date]])</f>
        <v>5</v>
      </c>
    </row>
    <row r="6" spans="1:12" ht="29.4" thickBot="1" x14ac:dyDescent="0.35">
      <c r="A6" s="1" t="s">
        <v>310</v>
      </c>
      <c r="B6" s="1" t="s">
        <v>39</v>
      </c>
      <c r="C6" s="3">
        <v>955540424</v>
      </c>
      <c r="D6" s="5">
        <v>18990000</v>
      </c>
      <c r="E6" s="4">
        <v>1</v>
      </c>
      <c r="F6" s="4">
        <f>Table2[[#This Row],[Số lượng ]]*Table2[[#This Row],[Giá bán]]</f>
        <v>18990000</v>
      </c>
      <c r="G6" s="2">
        <v>45516</v>
      </c>
      <c r="H6" s="1" t="s">
        <v>7</v>
      </c>
      <c r="I6" s="1" t="s">
        <v>5</v>
      </c>
      <c r="J6" s="1" t="s">
        <v>11</v>
      </c>
      <c r="K6" s="1">
        <f>WEEKNUM(Table2[[#This Row],[Date]])</f>
        <v>33</v>
      </c>
      <c r="L6" s="1">
        <f>MONTH(Table2[[#This Row],[Date]])</f>
        <v>8</v>
      </c>
    </row>
    <row r="7" spans="1:12" ht="43.8" thickBot="1" x14ac:dyDescent="0.35">
      <c r="A7" s="1" t="s">
        <v>311</v>
      </c>
      <c r="B7" s="1" t="s">
        <v>40</v>
      </c>
      <c r="C7" s="3">
        <v>986230551</v>
      </c>
      <c r="D7" s="5">
        <v>80000</v>
      </c>
      <c r="E7" s="4">
        <v>3</v>
      </c>
      <c r="F7" s="4">
        <f>Table2[[#This Row],[Số lượng ]]*Table2[[#This Row],[Giá bán]]</f>
        <v>240000</v>
      </c>
      <c r="G7" s="2">
        <v>45630</v>
      </c>
      <c r="H7" s="1" t="s">
        <v>4</v>
      </c>
      <c r="I7" s="1" t="s">
        <v>8</v>
      </c>
      <c r="J7" s="1" t="s">
        <v>12</v>
      </c>
      <c r="K7" s="1">
        <f>WEEKNUM(Table2[[#This Row],[Date]])</f>
        <v>49</v>
      </c>
      <c r="L7" s="1">
        <f>MONTH(Table2[[#This Row],[Date]])</f>
        <v>12</v>
      </c>
    </row>
    <row r="8" spans="1:12" ht="29.4" thickBot="1" x14ac:dyDescent="0.35">
      <c r="A8" s="1" t="s">
        <v>312</v>
      </c>
      <c r="B8" s="1" t="s">
        <v>41</v>
      </c>
      <c r="C8" s="3">
        <v>916323852</v>
      </c>
      <c r="D8" s="5">
        <v>18990000</v>
      </c>
      <c r="E8" s="4">
        <v>1</v>
      </c>
      <c r="F8" s="4">
        <f>Table2[[#This Row],[Số lượng ]]*Table2[[#This Row],[Giá bán]]</f>
        <v>18990000</v>
      </c>
      <c r="G8" s="2">
        <v>45424</v>
      </c>
      <c r="H8" s="1" t="s">
        <v>13</v>
      </c>
      <c r="I8" s="1" t="s">
        <v>5</v>
      </c>
      <c r="J8" s="1" t="s">
        <v>11</v>
      </c>
      <c r="K8" s="1">
        <f>WEEKNUM(Table2[[#This Row],[Date]])</f>
        <v>20</v>
      </c>
      <c r="L8" s="1">
        <f>MONTH(Table2[[#This Row],[Date]])</f>
        <v>5</v>
      </c>
    </row>
    <row r="9" spans="1:12" ht="29.4" thickBot="1" x14ac:dyDescent="0.35">
      <c r="A9" s="1" t="s">
        <v>313</v>
      </c>
      <c r="B9" s="1" t="s">
        <v>42</v>
      </c>
      <c r="C9" s="3">
        <v>981286543</v>
      </c>
      <c r="D9" s="5">
        <v>15990000</v>
      </c>
      <c r="E9" s="4">
        <v>1</v>
      </c>
      <c r="F9" s="4">
        <f>Table2[[#This Row],[Số lượng ]]*Table2[[#This Row],[Giá bán]]</f>
        <v>15990000</v>
      </c>
      <c r="G9" s="2">
        <v>45334</v>
      </c>
      <c r="H9" s="1" t="s">
        <v>13</v>
      </c>
      <c r="I9" s="1" t="s">
        <v>5</v>
      </c>
      <c r="J9" s="1" t="s">
        <v>14</v>
      </c>
      <c r="K9" s="1">
        <f>WEEKNUM(Table2[[#This Row],[Date]])</f>
        <v>7</v>
      </c>
      <c r="L9" s="1">
        <f>MONTH(Table2[[#This Row],[Date]])</f>
        <v>2</v>
      </c>
    </row>
    <row r="10" spans="1:12" ht="43.8" thickBot="1" x14ac:dyDescent="0.35">
      <c r="A10" s="1" t="s">
        <v>314</v>
      </c>
      <c r="B10" s="1" t="s">
        <v>43</v>
      </c>
      <c r="C10" s="3">
        <v>936619372</v>
      </c>
      <c r="D10" s="5">
        <v>28990000</v>
      </c>
      <c r="E10" s="4">
        <v>1</v>
      </c>
      <c r="F10" s="4">
        <f>Table2[[#This Row],[Số lượng ]]*Table2[[#This Row],[Giá bán]]</f>
        <v>28990000</v>
      </c>
      <c r="G10" s="2">
        <v>45645</v>
      </c>
      <c r="H10" s="1" t="s">
        <v>7</v>
      </c>
      <c r="I10" s="1" t="s">
        <v>5</v>
      </c>
      <c r="J10" s="1" t="s">
        <v>15</v>
      </c>
      <c r="K10" s="1">
        <f>WEEKNUM(Table2[[#This Row],[Date]])</f>
        <v>51</v>
      </c>
      <c r="L10" s="1">
        <f>MONTH(Table2[[#This Row],[Date]])</f>
        <v>12</v>
      </c>
    </row>
    <row r="11" spans="1:12" ht="29.4" thickBot="1" x14ac:dyDescent="0.35">
      <c r="A11" s="1" t="s">
        <v>315</v>
      </c>
      <c r="B11" s="1" t="s">
        <v>44</v>
      </c>
      <c r="C11" s="3">
        <v>918593410</v>
      </c>
      <c r="D11" s="5">
        <v>18490000</v>
      </c>
      <c r="E11" s="4">
        <v>1</v>
      </c>
      <c r="F11" s="4">
        <f>Table2[[#This Row],[Số lượng ]]*Table2[[#This Row],[Giá bán]]</f>
        <v>18490000</v>
      </c>
      <c r="G11" s="2">
        <v>45303</v>
      </c>
      <c r="H11" s="1" t="s">
        <v>13</v>
      </c>
      <c r="I11" s="1" t="s">
        <v>16</v>
      </c>
      <c r="J11" s="1" t="s">
        <v>17</v>
      </c>
      <c r="K11" s="1">
        <f>WEEKNUM(Table2[[#This Row],[Date]])</f>
        <v>2</v>
      </c>
      <c r="L11" s="1">
        <f>MONTH(Table2[[#This Row],[Date]])</f>
        <v>1</v>
      </c>
    </row>
    <row r="12" spans="1:12" ht="29.4" thickBot="1" x14ac:dyDescent="0.35">
      <c r="A12" s="1" t="s">
        <v>316</v>
      </c>
      <c r="B12" s="1" t="s">
        <v>45</v>
      </c>
      <c r="C12" s="3">
        <v>942100652</v>
      </c>
      <c r="D12" s="5">
        <v>12500000</v>
      </c>
      <c r="E12" s="4">
        <v>1</v>
      </c>
      <c r="F12" s="4">
        <f>Table2[[#This Row],[Số lượng ]]*Table2[[#This Row],[Giá bán]]</f>
        <v>12500000</v>
      </c>
      <c r="G12" s="2">
        <v>45657</v>
      </c>
      <c r="H12" s="1" t="s">
        <v>4</v>
      </c>
      <c r="I12" s="1" t="s">
        <v>16</v>
      </c>
      <c r="J12" s="1" t="s">
        <v>18</v>
      </c>
      <c r="K12" s="1">
        <f>WEEKNUM(Table2[[#This Row],[Date]])</f>
        <v>53</v>
      </c>
      <c r="L12" s="1">
        <f>MONTH(Table2[[#This Row],[Date]])</f>
        <v>12</v>
      </c>
    </row>
    <row r="13" spans="1:12" ht="43.8" thickBot="1" x14ac:dyDescent="0.35">
      <c r="A13" s="1" t="s">
        <v>317</v>
      </c>
      <c r="B13" s="1" t="s">
        <v>46</v>
      </c>
      <c r="C13" s="3">
        <v>993446356</v>
      </c>
      <c r="D13" s="5">
        <v>80000</v>
      </c>
      <c r="E13" s="4">
        <v>5</v>
      </c>
      <c r="F13" s="4">
        <f>Table2[[#This Row],[Số lượng ]]*Table2[[#This Row],[Giá bán]]</f>
        <v>400000</v>
      </c>
      <c r="G13" s="2">
        <v>45648</v>
      </c>
      <c r="H13" s="1" t="s">
        <v>4</v>
      </c>
      <c r="I13" s="1" t="s">
        <v>8</v>
      </c>
      <c r="J13" s="1" t="s">
        <v>12</v>
      </c>
      <c r="K13" s="1">
        <f>WEEKNUM(Table2[[#This Row],[Date]])</f>
        <v>52</v>
      </c>
      <c r="L13" s="1">
        <f>MONTH(Table2[[#This Row],[Date]])</f>
        <v>12</v>
      </c>
    </row>
    <row r="14" spans="1:12" ht="29.4" thickBot="1" x14ac:dyDescent="0.35">
      <c r="A14" s="1" t="s">
        <v>318</v>
      </c>
      <c r="B14" s="1" t="s">
        <v>47</v>
      </c>
      <c r="C14" s="3">
        <v>932321899</v>
      </c>
      <c r="D14" s="5">
        <v>8900000</v>
      </c>
      <c r="E14" s="4">
        <v>1</v>
      </c>
      <c r="F14" s="4">
        <f>Table2[[#This Row],[Số lượng ]]*Table2[[#This Row],[Giá bán]]</f>
        <v>8900000</v>
      </c>
      <c r="G14" s="2">
        <v>45642</v>
      </c>
      <c r="H14" s="1" t="s">
        <v>13</v>
      </c>
      <c r="I14" s="1" t="s">
        <v>16</v>
      </c>
      <c r="J14" s="1" t="s">
        <v>19</v>
      </c>
      <c r="K14" s="1">
        <f>WEEKNUM(Table2[[#This Row],[Date]])</f>
        <v>51</v>
      </c>
      <c r="L14" s="1">
        <f>MONTH(Table2[[#This Row],[Date]])</f>
        <v>12</v>
      </c>
    </row>
    <row r="15" spans="1:12" ht="29.4" thickBot="1" x14ac:dyDescent="0.35">
      <c r="A15" s="1" t="s">
        <v>319</v>
      </c>
      <c r="B15" s="1" t="s">
        <v>42</v>
      </c>
      <c r="C15" s="3">
        <v>999541016</v>
      </c>
      <c r="D15" s="5">
        <v>12500000</v>
      </c>
      <c r="E15" s="4">
        <v>2</v>
      </c>
      <c r="F15" s="4">
        <f>Table2[[#This Row],[Số lượng ]]*Table2[[#This Row],[Giá bán]]</f>
        <v>25000000</v>
      </c>
      <c r="G15" s="2">
        <v>45334</v>
      </c>
      <c r="H15" s="1" t="s">
        <v>13</v>
      </c>
      <c r="I15" s="1" t="s">
        <v>16</v>
      </c>
      <c r="J15" s="1" t="s">
        <v>18</v>
      </c>
      <c r="K15" s="1">
        <f>WEEKNUM(Table2[[#This Row],[Date]])</f>
        <v>7</v>
      </c>
      <c r="L15" s="1">
        <f>MONTH(Table2[[#This Row],[Date]])</f>
        <v>2</v>
      </c>
    </row>
    <row r="16" spans="1:12" ht="29.4" thickBot="1" x14ac:dyDescent="0.35">
      <c r="A16" s="1" t="s">
        <v>320</v>
      </c>
      <c r="B16" s="1" t="s">
        <v>48</v>
      </c>
      <c r="C16" s="3">
        <v>972270726</v>
      </c>
      <c r="D16" s="5">
        <v>190000</v>
      </c>
      <c r="E16" s="4">
        <v>4</v>
      </c>
      <c r="F16" s="4">
        <f>Table2[[#This Row],[Số lượng ]]*Table2[[#This Row],[Giá bán]]</f>
        <v>760000</v>
      </c>
      <c r="G16" s="2">
        <v>45645</v>
      </c>
      <c r="H16" s="1" t="s">
        <v>4</v>
      </c>
      <c r="I16" s="1" t="s">
        <v>8</v>
      </c>
      <c r="J16" s="1" t="s">
        <v>20</v>
      </c>
      <c r="K16" s="1">
        <f>WEEKNUM(Table2[[#This Row],[Date]])</f>
        <v>51</v>
      </c>
      <c r="L16" s="1">
        <f>MONTH(Table2[[#This Row],[Date]])</f>
        <v>12</v>
      </c>
    </row>
    <row r="17" spans="1:12" ht="29.4" thickBot="1" x14ac:dyDescent="0.35">
      <c r="A17" s="1" t="s">
        <v>321</v>
      </c>
      <c r="B17" s="1" t="s">
        <v>49</v>
      </c>
      <c r="C17" s="3">
        <v>939587039</v>
      </c>
      <c r="D17" s="5">
        <v>350000</v>
      </c>
      <c r="E17" s="4">
        <v>1</v>
      </c>
      <c r="F17" s="4">
        <f>Table2[[#This Row],[Số lượng ]]*Table2[[#This Row],[Giá bán]]</f>
        <v>350000</v>
      </c>
      <c r="G17" s="2">
        <v>45645</v>
      </c>
      <c r="H17" s="1" t="s">
        <v>7</v>
      </c>
      <c r="I17" s="1" t="s">
        <v>8</v>
      </c>
      <c r="J17" s="1" t="s">
        <v>9</v>
      </c>
      <c r="K17" s="1">
        <f>WEEKNUM(Table2[[#This Row],[Date]])</f>
        <v>51</v>
      </c>
      <c r="L17" s="1">
        <f>MONTH(Table2[[#This Row],[Date]])</f>
        <v>12</v>
      </c>
    </row>
    <row r="18" spans="1:12" ht="58.2" thickBot="1" x14ac:dyDescent="0.35">
      <c r="A18" s="1" t="s">
        <v>322</v>
      </c>
      <c r="B18" s="1" t="s">
        <v>50</v>
      </c>
      <c r="C18" s="3">
        <v>977172238</v>
      </c>
      <c r="D18" s="5">
        <v>450000</v>
      </c>
      <c r="E18" s="4">
        <v>1</v>
      </c>
      <c r="F18" s="4">
        <f>Table2[[#This Row],[Số lượng ]]*Table2[[#This Row],[Giá bán]]</f>
        <v>450000</v>
      </c>
      <c r="G18" s="2">
        <v>45642</v>
      </c>
      <c r="H18" s="1" t="s">
        <v>7</v>
      </c>
      <c r="I18" s="1" t="s">
        <v>8</v>
      </c>
      <c r="J18" s="1" t="s">
        <v>21</v>
      </c>
      <c r="K18" s="1">
        <f>WEEKNUM(Table2[[#This Row],[Date]])</f>
        <v>51</v>
      </c>
      <c r="L18" s="1">
        <f>MONTH(Table2[[#This Row],[Date]])</f>
        <v>12</v>
      </c>
    </row>
    <row r="19" spans="1:12" ht="15" thickBot="1" x14ac:dyDescent="0.35">
      <c r="A19" s="1" t="s">
        <v>323</v>
      </c>
      <c r="B19" s="1" t="s">
        <v>51</v>
      </c>
      <c r="C19" s="3">
        <v>919183277</v>
      </c>
      <c r="D19" s="5">
        <v>9990000</v>
      </c>
      <c r="E19" s="4">
        <v>2</v>
      </c>
      <c r="F19" s="4">
        <f>Table2[[#This Row],[Số lượng ]]*Table2[[#This Row],[Giá bán]]</f>
        <v>19980000</v>
      </c>
      <c r="G19" s="2">
        <v>45647</v>
      </c>
      <c r="H19" s="1" t="s">
        <v>7</v>
      </c>
      <c r="I19" s="1" t="s">
        <v>5</v>
      </c>
      <c r="J19" s="1" t="s">
        <v>6</v>
      </c>
      <c r="K19" s="1">
        <f>WEEKNUM(Table2[[#This Row],[Date]])</f>
        <v>51</v>
      </c>
      <c r="L19" s="1">
        <f>MONTH(Table2[[#This Row],[Date]])</f>
        <v>12</v>
      </c>
    </row>
    <row r="20" spans="1:12" ht="29.4" thickBot="1" x14ac:dyDescent="0.35">
      <c r="A20" s="1" t="s">
        <v>324</v>
      </c>
      <c r="B20" s="1" t="s">
        <v>52</v>
      </c>
      <c r="C20" s="3">
        <v>910344303</v>
      </c>
      <c r="D20" s="5">
        <v>12500000</v>
      </c>
      <c r="E20" s="4">
        <v>2</v>
      </c>
      <c r="F20" s="4">
        <f>Table2[[#This Row],[Số lượng ]]*Table2[[#This Row],[Giá bán]]</f>
        <v>25000000</v>
      </c>
      <c r="G20" s="2">
        <v>45650</v>
      </c>
      <c r="H20" s="1" t="s">
        <v>7</v>
      </c>
      <c r="I20" s="1" t="s">
        <v>16</v>
      </c>
      <c r="J20" s="1" t="s">
        <v>18</v>
      </c>
      <c r="K20" s="1">
        <f>WEEKNUM(Table2[[#This Row],[Date]])</f>
        <v>52</v>
      </c>
      <c r="L20" s="1">
        <f>MONTH(Table2[[#This Row],[Date]])</f>
        <v>12</v>
      </c>
    </row>
    <row r="21" spans="1:12" ht="43.8" thickBot="1" x14ac:dyDescent="0.35">
      <c r="A21" s="1" t="s">
        <v>325</v>
      </c>
      <c r="B21" s="1" t="s">
        <v>53</v>
      </c>
      <c r="C21" s="3">
        <v>923335151</v>
      </c>
      <c r="D21" s="5">
        <v>2990000</v>
      </c>
      <c r="E21" s="4">
        <v>3</v>
      </c>
      <c r="F21" s="4">
        <f>Table2[[#This Row],[Số lượng ]]*Table2[[#This Row],[Giá bán]]</f>
        <v>8970000</v>
      </c>
      <c r="G21" s="2">
        <v>45638</v>
      </c>
      <c r="H21" s="1" t="s">
        <v>13</v>
      </c>
      <c r="I21" s="1" t="s">
        <v>8</v>
      </c>
      <c r="J21" s="1" t="s">
        <v>22</v>
      </c>
      <c r="K21" s="1">
        <f>WEEKNUM(Table2[[#This Row],[Date]])</f>
        <v>50</v>
      </c>
      <c r="L21" s="1">
        <f>MONTH(Table2[[#This Row],[Date]])</f>
        <v>12</v>
      </c>
    </row>
    <row r="22" spans="1:12" ht="29.4" thickBot="1" x14ac:dyDescent="0.35">
      <c r="A22" s="1" t="s">
        <v>326</v>
      </c>
      <c r="B22" s="1" t="s">
        <v>54</v>
      </c>
      <c r="C22" s="3">
        <v>978248169</v>
      </c>
      <c r="D22" s="5">
        <v>9990000</v>
      </c>
      <c r="E22" s="4">
        <v>2</v>
      </c>
      <c r="F22" s="4">
        <f>Table2[[#This Row],[Số lượng ]]*Table2[[#This Row],[Giá bán]]</f>
        <v>19980000</v>
      </c>
      <c r="G22" s="2">
        <v>45627</v>
      </c>
      <c r="H22" s="1" t="s">
        <v>7</v>
      </c>
      <c r="I22" s="1" t="s">
        <v>16</v>
      </c>
      <c r="J22" s="1" t="s">
        <v>23</v>
      </c>
      <c r="K22" s="1">
        <f>WEEKNUM(Table2[[#This Row],[Date]])</f>
        <v>49</v>
      </c>
      <c r="L22" s="1">
        <f>MONTH(Table2[[#This Row],[Date]])</f>
        <v>12</v>
      </c>
    </row>
    <row r="23" spans="1:12" ht="29.4" thickBot="1" x14ac:dyDescent="0.35">
      <c r="A23" s="1" t="s">
        <v>327</v>
      </c>
      <c r="B23" s="1" t="s">
        <v>55</v>
      </c>
      <c r="C23" s="3">
        <v>984252420</v>
      </c>
      <c r="D23" s="5">
        <v>25990000</v>
      </c>
      <c r="E23" s="4">
        <v>1</v>
      </c>
      <c r="F23" s="4">
        <f>Table2[[#This Row],[Số lượng ]]*Table2[[#This Row],[Giá bán]]</f>
        <v>25990000</v>
      </c>
      <c r="G23" s="2">
        <v>45635</v>
      </c>
      <c r="H23" s="1" t="s">
        <v>4</v>
      </c>
      <c r="I23" s="1" t="s">
        <v>5</v>
      </c>
      <c r="J23" s="1" t="s">
        <v>24</v>
      </c>
      <c r="K23" s="1">
        <f>WEEKNUM(Table2[[#This Row],[Date]])</f>
        <v>50</v>
      </c>
      <c r="L23" s="1">
        <f>MONTH(Table2[[#This Row],[Date]])</f>
        <v>12</v>
      </c>
    </row>
    <row r="24" spans="1:12" ht="29.4" thickBot="1" x14ac:dyDescent="0.35">
      <c r="A24" s="1" t="s">
        <v>328</v>
      </c>
      <c r="B24" s="1" t="s">
        <v>56</v>
      </c>
      <c r="C24" s="3">
        <v>926587799</v>
      </c>
      <c r="D24" s="5">
        <v>350000</v>
      </c>
      <c r="E24" s="4">
        <v>3</v>
      </c>
      <c r="F24" s="4">
        <f>Table2[[#This Row],[Số lượng ]]*Table2[[#This Row],[Giá bán]]</f>
        <v>1050000</v>
      </c>
      <c r="G24" s="2">
        <v>45638</v>
      </c>
      <c r="H24" s="1" t="s">
        <v>4</v>
      </c>
      <c r="I24" s="1" t="s">
        <v>8</v>
      </c>
      <c r="J24" s="1" t="s">
        <v>9</v>
      </c>
      <c r="K24" s="1">
        <f>WEEKNUM(Table2[[#This Row],[Date]])</f>
        <v>50</v>
      </c>
      <c r="L24" s="1">
        <f>MONTH(Table2[[#This Row],[Date]])</f>
        <v>12</v>
      </c>
    </row>
    <row r="25" spans="1:12" ht="29.4" thickBot="1" x14ac:dyDescent="0.35">
      <c r="A25" s="1" t="s">
        <v>329</v>
      </c>
      <c r="B25" s="1" t="s">
        <v>57</v>
      </c>
      <c r="C25" s="3">
        <v>950237208</v>
      </c>
      <c r="D25" s="5">
        <v>150000</v>
      </c>
      <c r="E25" s="4">
        <v>3</v>
      </c>
      <c r="F25" s="4">
        <f>Table2[[#This Row],[Số lượng ]]*Table2[[#This Row],[Giá bán]]</f>
        <v>450000</v>
      </c>
      <c r="G25" s="2">
        <v>45653</v>
      </c>
      <c r="H25" s="1" t="s">
        <v>7</v>
      </c>
      <c r="I25" s="1" t="s">
        <v>8</v>
      </c>
      <c r="J25" s="1" t="s">
        <v>25</v>
      </c>
      <c r="K25" s="1">
        <f>WEEKNUM(Table2[[#This Row],[Date]])</f>
        <v>52</v>
      </c>
      <c r="L25" s="1">
        <f>MONTH(Table2[[#This Row],[Date]])</f>
        <v>12</v>
      </c>
    </row>
    <row r="26" spans="1:12" ht="29.4" thickBot="1" x14ac:dyDescent="0.35">
      <c r="A26" s="1" t="s">
        <v>330</v>
      </c>
      <c r="B26" s="1" t="s">
        <v>58</v>
      </c>
      <c r="C26" s="3">
        <v>928453800</v>
      </c>
      <c r="D26" s="5">
        <v>3990000</v>
      </c>
      <c r="E26" s="4">
        <v>2</v>
      </c>
      <c r="F26" s="4">
        <f>Table2[[#This Row],[Số lượng ]]*Table2[[#This Row],[Giá bán]]</f>
        <v>7980000</v>
      </c>
      <c r="G26" s="2">
        <v>45516</v>
      </c>
      <c r="H26" s="1" t="s">
        <v>7</v>
      </c>
      <c r="I26" s="1" t="s">
        <v>8</v>
      </c>
      <c r="J26" s="1" t="s">
        <v>26</v>
      </c>
      <c r="K26" s="1">
        <f>WEEKNUM(Table2[[#This Row],[Date]])</f>
        <v>33</v>
      </c>
      <c r="L26" s="1">
        <f>MONTH(Table2[[#This Row],[Date]])</f>
        <v>8</v>
      </c>
    </row>
    <row r="27" spans="1:12" ht="29.4" thickBot="1" x14ac:dyDescent="0.35">
      <c r="A27" s="1" t="s">
        <v>331</v>
      </c>
      <c r="B27" s="1" t="s">
        <v>59</v>
      </c>
      <c r="C27" s="3">
        <v>976890827</v>
      </c>
      <c r="D27" s="5">
        <v>5290000</v>
      </c>
      <c r="E27" s="4">
        <v>3</v>
      </c>
      <c r="F27" s="4">
        <f>Table2[[#This Row],[Số lượng ]]*Table2[[#This Row],[Giá bán]]</f>
        <v>15870000</v>
      </c>
      <c r="G27" s="2">
        <v>45577</v>
      </c>
      <c r="H27" s="1" t="s">
        <v>7</v>
      </c>
      <c r="I27" s="1" t="s">
        <v>8</v>
      </c>
      <c r="J27" s="1" t="s">
        <v>27</v>
      </c>
      <c r="K27" s="1">
        <f>WEEKNUM(Table2[[#This Row],[Date]])</f>
        <v>41</v>
      </c>
      <c r="L27" s="1">
        <f>MONTH(Table2[[#This Row],[Date]])</f>
        <v>10</v>
      </c>
    </row>
    <row r="28" spans="1:12" ht="29.4" thickBot="1" x14ac:dyDescent="0.35">
      <c r="A28" s="1" t="s">
        <v>332</v>
      </c>
      <c r="B28" s="1" t="s">
        <v>60</v>
      </c>
      <c r="C28" s="3">
        <v>910380581</v>
      </c>
      <c r="D28" s="5">
        <v>6990000</v>
      </c>
      <c r="E28" s="4">
        <v>1</v>
      </c>
      <c r="F28" s="4">
        <f>Table2[[#This Row],[Số lượng ]]*Table2[[#This Row],[Giá bán]]</f>
        <v>6990000</v>
      </c>
      <c r="G28" s="2">
        <v>45654</v>
      </c>
      <c r="H28" s="1" t="s">
        <v>13</v>
      </c>
      <c r="I28" s="1" t="s">
        <v>5</v>
      </c>
      <c r="J28" s="1" t="s">
        <v>28</v>
      </c>
      <c r="K28" s="1">
        <f>WEEKNUM(Table2[[#This Row],[Date]])</f>
        <v>52</v>
      </c>
      <c r="L28" s="1">
        <f>MONTH(Table2[[#This Row],[Date]])</f>
        <v>12</v>
      </c>
    </row>
    <row r="29" spans="1:12" ht="29.4" thickBot="1" x14ac:dyDescent="0.35">
      <c r="A29" s="1" t="s">
        <v>333</v>
      </c>
      <c r="B29" s="1" t="s">
        <v>61</v>
      </c>
      <c r="C29" s="3">
        <v>915529005</v>
      </c>
      <c r="D29" s="5">
        <v>12500000</v>
      </c>
      <c r="E29" s="4">
        <v>2</v>
      </c>
      <c r="F29" s="4">
        <f>Table2[[#This Row],[Số lượng ]]*Table2[[#This Row],[Giá bán]]</f>
        <v>25000000</v>
      </c>
      <c r="G29" s="2">
        <v>45363</v>
      </c>
      <c r="H29" s="1" t="s">
        <v>4</v>
      </c>
      <c r="I29" s="1" t="s">
        <v>5</v>
      </c>
      <c r="J29" s="1" t="s">
        <v>29</v>
      </c>
      <c r="K29" s="1">
        <f>WEEKNUM(Table2[[#This Row],[Date]])</f>
        <v>11</v>
      </c>
      <c r="L29" s="1">
        <f>MONTH(Table2[[#This Row],[Date]])</f>
        <v>3</v>
      </c>
    </row>
    <row r="30" spans="1:12" ht="29.4" thickBot="1" x14ac:dyDescent="0.35">
      <c r="A30" s="1" t="s">
        <v>334</v>
      </c>
      <c r="B30" s="1" t="s">
        <v>62</v>
      </c>
      <c r="C30" s="3">
        <v>951954112</v>
      </c>
      <c r="D30" s="5">
        <v>5290000</v>
      </c>
      <c r="E30" s="4">
        <v>3</v>
      </c>
      <c r="F30" s="4">
        <f>Table2[[#This Row],[Số lượng ]]*Table2[[#This Row],[Giá bán]]</f>
        <v>15870000</v>
      </c>
      <c r="G30" s="2">
        <v>45608</v>
      </c>
      <c r="H30" s="1" t="s">
        <v>7</v>
      </c>
      <c r="I30" s="1" t="s">
        <v>8</v>
      </c>
      <c r="J30" s="1" t="s">
        <v>27</v>
      </c>
      <c r="K30" s="1">
        <f>WEEKNUM(Table2[[#This Row],[Date]])</f>
        <v>46</v>
      </c>
      <c r="L30" s="1">
        <f>MONTH(Table2[[#This Row],[Date]])</f>
        <v>11</v>
      </c>
    </row>
    <row r="31" spans="1:12" ht="58.2" thickBot="1" x14ac:dyDescent="0.35">
      <c r="A31" s="1" t="s">
        <v>335</v>
      </c>
      <c r="B31" s="1" t="s">
        <v>63</v>
      </c>
      <c r="C31" s="3">
        <v>927463800</v>
      </c>
      <c r="D31" s="5">
        <v>450000</v>
      </c>
      <c r="E31" s="4">
        <v>5</v>
      </c>
      <c r="F31" s="4">
        <f>Table2[[#This Row],[Số lượng ]]*Table2[[#This Row],[Giá bán]]</f>
        <v>2250000</v>
      </c>
      <c r="G31" s="2">
        <v>45334</v>
      </c>
      <c r="H31" s="1" t="s">
        <v>13</v>
      </c>
      <c r="I31" s="1" t="s">
        <v>8</v>
      </c>
      <c r="J31" s="1" t="s">
        <v>21</v>
      </c>
      <c r="K31" s="1">
        <f>WEEKNUM(Table2[[#This Row],[Date]])</f>
        <v>7</v>
      </c>
      <c r="L31" s="1">
        <f>MONTH(Table2[[#This Row],[Date]])</f>
        <v>2</v>
      </c>
    </row>
    <row r="32" spans="1:12" ht="58.2" thickBot="1" x14ac:dyDescent="0.35">
      <c r="A32" s="1" t="s">
        <v>336</v>
      </c>
      <c r="B32" s="1" t="s">
        <v>64</v>
      </c>
      <c r="C32" s="3">
        <v>945843681</v>
      </c>
      <c r="D32" s="5">
        <v>450000</v>
      </c>
      <c r="E32" s="4">
        <v>4</v>
      </c>
      <c r="F32" s="4">
        <f>Table2[[#This Row],[Số lượng ]]*Table2[[#This Row],[Giá bán]]</f>
        <v>1800000</v>
      </c>
      <c r="G32" s="2">
        <v>45631</v>
      </c>
      <c r="H32" s="1" t="s">
        <v>13</v>
      </c>
      <c r="I32" s="1" t="s">
        <v>8</v>
      </c>
      <c r="J32" s="1" t="s">
        <v>21</v>
      </c>
      <c r="K32" s="1">
        <f>WEEKNUM(Table2[[#This Row],[Date]])</f>
        <v>49</v>
      </c>
      <c r="L32" s="1">
        <f>MONTH(Table2[[#This Row],[Date]])</f>
        <v>12</v>
      </c>
    </row>
    <row r="33" spans="1:12" ht="29.4" thickBot="1" x14ac:dyDescent="0.35">
      <c r="A33" s="1" t="s">
        <v>337</v>
      </c>
      <c r="B33" s="1" t="s">
        <v>65</v>
      </c>
      <c r="C33" s="3">
        <v>997971488</v>
      </c>
      <c r="D33" s="5">
        <v>150000</v>
      </c>
      <c r="E33" s="4">
        <v>4</v>
      </c>
      <c r="F33" s="4">
        <f>Table2[[#This Row],[Số lượng ]]*Table2[[#This Row],[Giá bán]]</f>
        <v>600000</v>
      </c>
      <c r="G33" s="2">
        <v>45639</v>
      </c>
      <c r="H33" s="1" t="s">
        <v>13</v>
      </c>
      <c r="I33" s="1" t="s">
        <v>8</v>
      </c>
      <c r="J33" s="1" t="s">
        <v>25</v>
      </c>
      <c r="K33" s="1">
        <f>WEEKNUM(Table2[[#This Row],[Date]])</f>
        <v>50</v>
      </c>
      <c r="L33" s="1">
        <f>MONTH(Table2[[#This Row],[Date]])</f>
        <v>12</v>
      </c>
    </row>
    <row r="34" spans="1:12" ht="29.4" thickBot="1" x14ac:dyDescent="0.35">
      <c r="A34" s="1" t="s">
        <v>338</v>
      </c>
      <c r="B34" s="1" t="s">
        <v>66</v>
      </c>
      <c r="C34" s="3">
        <v>965910756</v>
      </c>
      <c r="D34" s="5">
        <v>15990000</v>
      </c>
      <c r="E34" s="4">
        <v>1</v>
      </c>
      <c r="F34" s="4">
        <f>Table2[[#This Row],[Số lượng ]]*Table2[[#This Row],[Giá bán]]</f>
        <v>15990000</v>
      </c>
      <c r="G34" s="2">
        <v>45648</v>
      </c>
      <c r="H34" s="1" t="s">
        <v>13</v>
      </c>
      <c r="I34" s="1" t="s">
        <v>5</v>
      </c>
      <c r="J34" s="1" t="s">
        <v>14</v>
      </c>
      <c r="K34" s="1">
        <f>WEEKNUM(Table2[[#This Row],[Date]])</f>
        <v>52</v>
      </c>
      <c r="L34" s="1">
        <f>MONTH(Table2[[#This Row],[Date]])</f>
        <v>12</v>
      </c>
    </row>
    <row r="35" spans="1:12" ht="29.4" thickBot="1" x14ac:dyDescent="0.35">
      <c r="A35" s="1" t="s">
        <v>339</v>
      </c>
      <c r="B35" s="1" t="s">
        <v>67</v>
      </c>
      <c r="C35" s="3">
        <v>972409658</v>
      </c>
      <c r="D35" s="5">
        <v>350000</v>
      </c>
      <c r="E35" s="4">
        <v>2</v>
      </c>
      <c r="F35" s="4">
        <f>Table2[[#This Row],[Số lượng ]]*Table2[[#This Row],[Giá bán]]</f>
        <v>700000</v>
      </c>
      <c r="G35" s="2">
        <v>45641</v>
      </c>
      <c r="H35" s="1" t="s">
        <v>4</v>
      </c>
      <c r="I35" s="1" t="s">
        <v>8</v>
      </c>
      <c r="J35" s="1" t="s">
        <v>9</v>
      </c>
      <c r="K35" s="1">
        <f>WEEKNUM(Table2[[#This Row],[Date]])</f>
        <v>51</v>
      </c>
      <c r="L35" s="1">
        <f>MONTH(Table2[[#This Row],[Date]])</f>
        <v>12</v>
      </c>
    </row>
    <row r="36" spans="1:12" ht="29.4" thickBot="1" x14ac:dyDescent="0.35">
      <c r="A36" s="1" t="s">
        <v>340</v>
      </c>
      <c r="B36" s="1" t="s">
        <v>68</v>
      </c>
      <c r="C36" s="3">
        <v>998955314</v>
      </c>
      <c r="D36" s="5">
        <v>18990000</v>
      </c>
      <c r="E36" s="4">
        <v>1</v>
      </c>
      <c r="F36" s="4">
        <f>Table2[[#This Row],[Số lượng ]]*Table2[[#This Row],[Giá bán]]</f>
        <v>18990000</v>
      </c>
      <c r="G36" s="2">
        <v>45647</v>
      </c>
      <c r="H36" s="1" t="s">
        <v>13</v>
      </c>
      <c r="I36" s="1" t="s">
        <v>5</v>
      </c>
      <c r="J36" s="1" t="s">
        <v>10</v>
      </c>
      <c r="K36" s="1">
        <f>WEEKNUM(Table2[[#This Row],[Date]])</f>
        <v>51</v>
      </c>
      <c r="L36" s="1">
        <f>MONTH(Table2[[#This Row],[Date]])</f>
        <v>12</v>
      </c>
    </row>
    <row r="37" spans="1:12" ht="29.4" thickBot="1" x14ac:dyDescent="0.35">
      <c r="A37" s="1" t="s">
        <v>341</v>
      </c>
      <c r="B37" s="1" t="s">
        <v>69</v>
      </c>
      <c r="C37" s="3">
        <v>939920292</v>
      </c>
      <c r="D37" s="5">
        <v>12500000</v>
      </c>
      <c r="E37" s="4">
        <v>2</v>
      </c>
      <c r="F37" s="4">
        <f>Table2[[#This Row],[Số lượng ]]*Table2[[#This Row],[Giá bán]]</f>
        <v>25000000</v>
      </c>
      <c r="G37" s="2">
        <v>45648</v>
      </c>
      <c r="H37" s="1" t="s">
        <v>13</v>
      </c>
      <c r="I37" s="1" t="s">
        <v>5</v>
      </c>
      <c r="J37" s="1" t="s">
        <v>29</v>
      </c>
      <c r="K37" s="1">
        <f>WEEKNUM(Table2[[#This Row],[Date]])</f>
        <v>52</v>
      </c>
      <c r="L37" s="1">
        <f>MONTH(Table2[[#This Row],[Date]])</f>
        <v>12</v>
      </c>
    </row>
    <row r="38" spans="1:12" ht="29.4" thickBot="1" x14ac:dyDescent="0.35">
      <c r="A38" s="1" t="s">
        <v>342</v>
      </c>
      <c r="B38" s="1" t="s">
        <v>70</v>
      </c>
      <c r="C38" s="3">
        <v>960473288</v>
      </c>
      <c r="D38" s="5">
        <v>6990000</v>
      </c>
      <c r="E38" s="4">
        <v>2</v>
      </c>
      <c r="F38" s="4">
        <f>Table2[[#This Row],[Số lượng ]]*Table2[[#This Row],[Giá bán]]</f>
        <v>13980000</v>
      </c>
      <c r="G38" s="2">
        <v>45653</v>
      </c>
      <c r="H38" s="1" t="s">
        <v>13</v>
      </c>
      <c r="I38" s="1" t="s">
        <v>5</v>
      </c>
      <c r="J38" s="1" t="s">
        <v>28</v>
      </c>
      <c r="K38" s="1">
        <f>WEEKNUM(Table2[[#This Row],[Date]])</f>
        <v>52</v>
      </c>
      <c r="L38" s="1">
        <f>MONTH(Table2[[#This Row],[Date]])</f>
        <v>12</v>
      </c>
    </row>
    <row r="39" spans="1:12" ht="29.4" thickBot="1" x14ac:dyDescent="0.35">
      <c r="A39" s="1" t="s">
        <v>343</v>
      </c>
      <c r="B39" s="1" t="s">
        <v>71</v>
      </c>
      <c r="C39" s="3">
        <v>992950779</v>
      </c>
      <c r="D39" s="5">
        <v>25990000</v>
      </c>
      <c r="E39" s="4">
        <v>1</v>
      </c>
      <c r="F39" s="4">
        <f>Table2[[#This Row],[Số lượng ]]*Table2[[#This Row],[Giá bán]]</f>
        <v>25990000</v>
      </c>
      <c r="G39" s="2">
        <v>45646</v>
      </c>
      <c r="H39" s="1" t="s">
        <v>4</v>
      </c>
      <c r="I39" s="1" t="s">
        <v>5</v>
      </c>
      <c r="J39" s="1" t="s">
        <v>24</v>
      </c>
      <c r="K39" s="1">
        <f>WEEKNUM(Table2[[#This Row],[Date]])</f>
        <v>51</v>
      </c>
      <c r="L39" s="1">
        <f>MONTH(Table2[[#This Row],[Date]])</f>
        <v>12</v>
      </c>
    </row>
    <row r="40" spans="1:12" ht="43.8" thickBot="1" x14ac:dyDescent="0.35">
      <c r="A40" s="1" t="s">
        <v>344</v>
      </c>
      <c r="B40" s="1" t="s">
        <v>72</v>
      </c>
      <c r="C40" s="3">
        <v>927129912</v>
      </c>
      <c r="D40" s="5">
        <v>80000</v>
      </c>
      <c r="E40" s="4">
        <v>4</v>
      </c>
      <c r="F40" s="4">
        <f>Table2[[#This Row],[Số lượng ]]*Table2[[#This Row],[Giá bán]]</f>
        <v>320000</v>
      </c>
      <c r="G40" s="2">
        <v>45644</v>
      </c>
      <c r="H40" s="1" t="s">
        <v>13</v>
      </c>
      <c r="I40" s="1" t="s">
        <v>8</v>
      </c>
      <c r="J40" s="1" t="s">
        <v>12</v>
      </c>
      <c r="K40" s="1">
        <f>WEEKNUM(Table2[[#This Row],[Date]])</f>
        <v>51</v>
      </c>
      <c r="L40" s="1">
        <f>MONTH(Table2[[#This Row],[Date]])</f>
        <v>12</v>
      </c>
    </row>
    <row r="41" spans="1:12" ht="29.4" thickBot="1" x14ac:dyDescent="0.35">
      <c r="A41" s="1" t="s">
        <v>345</v>
      </c>
      <c r="B41" s="1" t="s">
        <v>73</v>
      </c>
      <c r="C41" s="3">
        <v>970855700</v>
      </c>
      <c r="D41" s="5">
        <v>3990000</v>
      </c>
      <c r="E41" s="4">
        <v>2</v>
      </c>
      <c r="F41" s="4">
        <f>Table2[[#This Row],[Số lượng ]]*Table2[[#This Row],[Giá bán]]</f>
        <v>7980000</v>
      </c>
      <c r="G41" s="2">
        <v>45653</v>
      </c>
      <c r="H41" s="1" t="s">
        <v>4</v>
      </c>
      <c r="I41" s="1" t="s">
        <v>8</v>
      </c>
      <c r="J41" s="1" t="s">
        <v>26</v>
      </c>
      <c r="K41" s="1">
        <f>WEEKNUM(Table2[[#This Row],[Date]])</f>
        <v>52</v>
      </c>
      <c r="L41" s="1">
        <f>MONTH(Table2[[#This Row],[Date]])</f>
        <v>12</v>
      </c>
    </row>
    <row r="42" spans="1:12" ht="29.4" thickBot="1" x14ac:dyDescent="0.35">
      <c r="A42" s="1" t="s">
        <v>346</v>
      </c>
      <c r="B42" s="1" t="s">
        <v>74</v>
      </c>
      <c r="C42" s="3">
        <v>919233013</v>
      </c>
      <c r="D42" s="5">
        <v>9990000</v>
      </c>
      <c r="E42" s="4">
        <v>1</v>
      </c>
      <c r="F42" s="4">
        <f>Table2[[#This Row],[Số lượng ]]*Table2[[#This Row],[Giá bán]]</f>
        <v>9990000</v>
      </c>
      <c r="G42" s="2">
        <v>45638</v>
      </c>
      <c r="H42" s="1" t="s">
        <v>4</v>
      </c>
      <c r="I42" s="1" t="s">
        <v>5</v>
      </c>
      <c r="J42" s="1" t="s">
        <v>6</v>
      </c>
      <c r="K42" s="1">
        <f>WEEKNUM(Table2[[#This Row],[Date]])</f>
        <v>50</v>
      </c>
      <c r="L42" s="1">
        <f>MONTH(Table2[[#This Row],[Date]])</f>
        <v>12</v>
      </c>
    </row>
    <row r="43" spans="1:12" ht="29.4" thickBot="1" x14ac:dyDescent="0.35">
      <c r="A43" s="1" t="s">
        <v>347</v>
      </c>
      <c r="B43" s="1" t="s">
        <v>75</v>
      </c>
      <c r="C43" s="3">
        <v>981971316</v>
      </c>
      <c r="D43" s="5">
        <v>18990000</v>
      </c>
      <c r="E43" s="4">
        <v>1</v>
      </c>
      <c r="F43" s="4">
        <f>Table2[[#This Row],[Số lượng ]]*Table2[[#This Row],[Giá bán]]</f>
        <v>18990000</v>
      </c>
      <c r="G43" s="2">
        <v>45656</v>
      </c>
      <c r="H43" s="1" t="s">
        <v>4</v>
      </c>
      <c r="I43" s="1" t="s">
        <v>5</v>
      </c>
      <c r="J43" s="1" t="s">
        <v>11</v>
      </c>
      <c r="K43" s="1">
        <f>WEEKNUM(Table2[[#This Row],[Date]])</f>
        <v>53</v>
      </c>
      <c r="L43" s="1">
        <f>MONTH(Table2[[#This Row],[Date]])</f>
        <v>12</v>
      </c>
    </row>
    <row r="44" spans="1:12" ht="58.2" thickBot="1" x14ac:dyDescent="0.35">
      <c r="A44" s="1" t="s">
        <v>348</v>
      </c>
      <c r="B44" s="1" t="s">
        <v>76</v>
      </c>
      <c r="C44" s="3">
        <v>937133023</v>
      </c>
      <c r="D44" s="5">
        <v>280000</v>
      </c>
      <c r="E44" s="4">
        <v>2</v>
      </c>
      <c r="F44" s="4">
        <f>Table2[[#This Row],[Số lượng ]]*Table2[[#This Row],[Giá bán]]</f>
        <v>560000</v>
      </c>
      <c r="G44" s="2">
        <v>45644</v>
      </c>
      <c r="H44" s="1" t="s">
        <v>7</v>
      </c>
      <c r="I44" s="1" t="s">
        <v>8</v>
      </c>
      <c r="J44" s="1" t="s">
        <v>30</v>
      </c>
      <c r="K44" s="1">
        <f>WEEKNUM(Table2[[#This Row],[Date]])</f>
        <v>51</v>
      </c>
      <c r="L44" s="1">
        <f>MONTH(Table2[[#This Row],[Date]])</f>
        <v>12</v>
      </c>
    </row>
    <row r="45" spans="1:12" ht="43.8" thickBot="1" x14ac:dyDescent="0.35">
      <c r="A45" s="1" t="s">
        <v>349</v>
      </c>
      <c r="B45" s="1" t="s">
        <v>77</v>
      </c>
      <c r="C45" s="3">
        <v>967887757</v>
      </c>
      <c r="D45" s="5">
        <v>28990000</v>
      </c>
      <c r="E45" s="4">
        <v>2</v>
      </c>
      <c r="F45" s="4">
        <f>Table2[[#This Row],[Số lượng ]]*Table2[[#This Row],[Giá bán]]</f>
        <v>57980000</v>
      </c>
      <c r="G45" s="2">
        <v>45657</v>
      </c>
      <c r="H45" s="1" t="s">
        <v>13</v>
      </c>
      <c r="I45" s="1" t="s">
        <v>5</v>
      </c>
      <c r="J45" s="1" t="s">
        <v>15</v>
      </c>
      <c r="K45" s="1">
        <f>WEEKNUM(Table2[[#This Row],[Date]])</f>
        <v>53</v>
      </c>
      <c r="L45" s="1">
        <f>MONTH(Table2[[#This Row],[Date]])</f>
        <v>12</v>
      </c>
    </row>
    <row r="46" spans="1:12" ht="43.8" thickBot="1" x14ac:dyDescent="0.35">
      <c r="A46" s="1" t="s">
        <v>350</v>
      </c>
      <c r="B46" s="1" t="s">
        <v>78</v>
      </c>
      <c r="C46" s="3">
        <v>979182797</v>
      </c>
      <c r="D46" s="5">
        <v>2990000</v>
      </c>
      <c r="E46" s="4">
        <v>3</v>
      </c>
      <c r="F46" s="4">
        <f>Table2[[#This Row],[Số lượng ]]*Table2[[#This Row],[Giá bán]]</f>
        <v>8970000</v>
      </c>
      <c r="G46" s="2">
        <v>45647</v>
      </c>
      <c r="H46" s="1" t="s">
        <v>13</v>
      </c>
      <c r="I46" s="1" t="s">
        <v>8</v>
      </c>
      <c r="J46" s="1" t="s">
        <v>22</v>
      </c>
      <c r="K46" s="1">
        <f>WEEKNUM(Table2[[#This Row],[Date]])</f>
        <v>51</v>
      </c>
      <c r="L46" s="1">
        <f>MONTH(Table2[[#This Row],[Date]])</f>
        <v>12</v>
      </c>
    </row>
    <row r="47" spans="1:12" ht="29.4" thickBot="1" x14ac:dyDescent="0.35">
      <c r="A47" s="1" t="s">
        <v>351</v>
      </c>
      <c r="B47" s="1" t="s">
        <v>79</v>
      </c>
      <c r="C47" s="3">
        <v>914216175</v>
      </c>
      <c r="D47" s="5">
        <v>18490000</v>
      </c>
      <c r="E47" s="4">
        <v>1</v>
      </c>
      <c r="F47" s="4">
        <f>Table2[[#This Row],[Số lượng ]]*Table2[[#This Row],[Giá bán]]</f>
        <v>18490000</v>
      </c>
      <c r="G47" s="2">
        <v>45363</v>
      </c>
      <c r="H47" s="1" t="s">
        <v>13</v>
      </c>
      <c r="I47" s="1" t="s">
        <v>16</v>
      </c>
      <c r="J47" s="1" t="s">
        <v>17</v>
      </c>
      <c r="K47" s="1">
        <f>WEEKNUM(Table2[[#This Row],[Date]])</f>
        <v>11</v>
      </c>
      <c r="L47" s="1">
        <f>MONTH(Table2[[#This Row],[Date]])</f>
        <v>3</v>
      </c>
    </row>
    <row r="48" spans="1:12" ht="29.4" thickBot="1" x14ac:dyDescent="0.35">
      <c r="A48" s="1" t="s">
        <v>352</v>
      </c>
      <c r="B48" s="1" t="s">
        <v>80</v>
      </c>
      <c r="C48" s="3">
        <v>938933176</v>
      </c>
      <c r="D48" s="5">
        <v>190000</v>
      </c>
      <c r="E48" s="4">
        <v>3</v>
      </c>
      <c r="F48" s="4">
        <f>Table2[[#This Row],[Số lượng ]]*Table2[[#This Row],[Giá bán]]</f>
        <v>570000</v>
      </c>
      <c r="G48" s="2">
        <v>45643</v>
      </c>
      <c r="H48" s="1" t="s">
        <v>4</v>
      </c>
      <c r="I48" s="1" t="s">
        <v>8</v>
      </c>
      <c r="J48" s="1" t="s">
        <v>20</v>
      </c>
      <c r="K48" s="1">
        <f>WEEKNUM(Table2[[#This Row],[Date]])</f>
        <v>51</v>
      </c>
      <c r="L48" s="1">
        <f>MONTH(Table2[[#This Row],[Date]])</f>
        <v>12</v>
      </c>
    </row>
    <row r="49" spans="1:12" ht="58.2" thickBot="1" x14ac:dyDescent="0.35">
      <c r="A49" s="1" t="s">
        <v>353</v>
      </c>
      <c r="B49" s="1" t="s">
        <v>81</v>
      </c>
      <c r="C49" s="3">
        <v>959555330</v>
      </c>
      <c r="D49" s="5">
        <v>280000</v>
      </c>
      <c r="E49" s="4">
        <v>4</v>
      </c>
      <c r="F49" s="4">
        <f>Table2[[#This Row],[Số lượng ]]*Table2[[#This Row],[Giá bán]]</f>
        <v>1120000</v>
      </c>
      <c r="G49" s="2">
        <v>45644</v>
      </c>
      <c r="H49" s="1" t="s">
        <v>7</v>
      </c>
      <c r="I49" s="1" t="s">
        <v>8</v>
      </c>
      <c r="J49" s="1" t="s">
        <v>30</v>
      </c>
      <c r="K49" s="1">
        <f>WEEKNUM(Table2[[#This Row],[Date]])</f>
        <v>51</v>
      </c>
      <c r="L49" s="1">
        <f>MONTH(Table2[[#This Row],[Date]])</f>
        <v>12</v>
      </c>
    </row>
    <row r="50" spans="1:12" ht="29.4" thickBot="1" x14ac:dyDescent="0.35">
      <c r="A50" s="1" t="s">
        <v>354</v>
      </c>
      <c r="B50" s="1" t="s">
        <v>82</v>
      </c>
      <c r="C50" s="3">
        <v>967110154</v>
      </c>
      <c r="D50" s="5">
        <v>250000</v>
      </c>
      <c r="E50" s="4">
        <v>3</v>
      </c>
      <c r="F50" s="4">
        <f>Table2[[#This Row],[Số lượng ]]*Table2[[#This Row],[Giá bán]]</f>
        <v>750000</v>
      </c>
      <c r="G50" s="2">
        <v>45644</v>
      </c>
      <c r="H50" s="1" t="s">
        <v>7</v>
      </c>
      <c r="I50" s="1" t="s">
        <v>8</v>
      </c>
      <c r="J50" s="1" t="s">
        <v>31</v>
      </c>
      <c r="K50" s="1">
        <f>WEEKNUM(Table2[[#This Row],[Date]])</f>
        <v>51</v>
      </c>
      <c r="L50" s="1">
        <f>MONTH(Table2[[#This Row],[Date]])</f>
        <v>12</v>
      </c>
    </row>
    <row r="51" spans="1:12" ht="29.4" thickBot="1" x14ac:dyDescent="0.35">
      <c r="A51" s="1" t="s">
        <v>355</v>
      </c>
      <c r="B51" s="1" t="s">
        <v>83</v>
      </c>
      <c r="C51" s="3">
        <v>977215278</v>
      </c>
      <c r="D51" s="5">
        <v>250000</v>
      </c>
      <c r="E51" s="4">
        <v>1</v>
      </c>
      <c r="F51" s="4">
        <f>Table2[[#This Row],[Số lượng ]]*Table2[[#This Row],[Giá bán]]</f>
        <v>250000</v>
      </c>
      <c r="G51" s="2">
        <v>45638</v>
      </c>
      <c r="H51" s="1" t="s">
        <v>13</v>
      </c>
      <c r="I51" s="1" t="s">
        <v>8</v>
      </c>
      <c r="J51" s="1" t="s">
        <v>31</v>
      </c>
      <c r="K51" s="1">
        <f>WEEKNUM(Table2[[#This Row],[Date]])</f>
        <v>50</v>
      </c>
      <c r="L51" s="1">
        <f>MONTH(Table2[[#This Row],[Date]])</f>
        <v>12</v>
      </c>
    </row>
    <row r="52" spans="1:12" ht="29.4" thickBot="1" x14ac:dyDescent="0.35">
      <c r="A52" s="1" t="s">
        <v>356</v>
      </c>
      <c r="B52" s="1" t="s">
        <v>84</v>
      </c>
      <c r="C52" s="3">
        <v>969085720</v>
      </c>
      <c r="D52" s="5">
        <v>18490000</v>
      </c>
      <c r="E52" s="4">
        <v>1</v>
      </c>
      <c r="F52" s="4">
        <f>Table2[[#This Row],[Số lượng ]]*Table2[[#This Row],[Giá bán]]</f>
        <v>18490000</v>
      </c>
      <c r="G52" s="2">
        <v>45640</v>
      </c>
      <c r="H52" s="1" t="s">
        <v>4</v>
      </c>
      <c r="I52" s="1" t="s">
        <v>16</v>
      </c>
      <c r="J52" s="1" t="s">
        <v>17</v>
      </c>
      <c r="K52" s="1">
        <f>WEEKNUM(Table2[[#This Row],[Date]])</f>
        <v>50</v>
      </c>
      <c r="L52" s="1">
        <f>MONTH(Table2[[#This Row],[Date]])</f>
        <v>12</v>
      </c>
    </row>
    <row r="53" spans="1:12" ht="29.4" thickBot="1" x14ac:dyDescent="0.35">
      <c r="A53" s="1" t="s">
        <v>357</v>
      </c>
      <c r="B53" s="1" t="s">
        <v>85</v>
      </c>
      <c r="C53" s="3">
        <v>936246038</v>
      </c>
      <c r="D53" s="5">
        <v>350000</v>
      </c>
      <c r="E53" s="4">
        <v>3</v>
      </c>
      <c r="F53" s="4">
        <f>Table2[[#This Row],[Số lượng ]]*Table2[[#This Row],[Giá bán]]</f>
        <v>1050000</v>
      </c>
      <c r="G53" s="2">
        <v>45394</v>
      </c>
      <c r="H53" s="1" t="s">
        <v>7</v>
      </c>
      <c r="I53" s="1" t="s">
        <v>8</v>
      </c>
      <c r="J53" s="1" t="s">
        <v>9</v>
      </c>
      <c r="K53" s="1">
        <f>WEEKNUM(Table2[[#This Row],[Date]])</f>
        <v>15</v>
      </c>
      <c r="L53" s="1">
        <f>MONTH(Table2[[#This Row],[Date]])</f>
        <v>4</v>
      </c>
    </row>
    <row r="54" spans="1:12" ht="43.8" thickBot="1" x14ac:dyDescent="0.35">
      <c r="A54" s="1" t="s">
        <v>358</v>
      </c>
      <c r="B54" s="1" t="s">
        <v>86</v>
      </c>
      <c r="C54" s="3">
        <v>932566390</v>
      </c>
      <c r="D54" s="5">
        <v>28990000</v>
      </c>
      <c r="E54" s="4">
        <v>1</v>
      </c>
      <c r="F54" s="4">
        <f>Table2[[#This Row],[Số lượng ]]*Table2[[#This Row],[Giá bán]]</f>
        <v>28990000</v>
      </c>
      <c r="G54" s="2">
        <v>45643</v>
      </c>
      <c r="H54" s="1" t="s">
        <v>7</v>
      </c>
      <c r="I54" s="1" t="s">
        <v>5</v>
      </c>
      <c r="J54" s="1" t="s">
        <v>15</v>
      </c>
      <c r="K54" s="1">
        <f>WEEKNUM(Table2[[#This Row],[Date]])</f>
        <v>51</v>
      </c>
      <c r="L54" s="1">
        <f>MONTH(Table2[[#This Row],[Date]])</f>
        <v>12</v>
      </c>
    </row>
    <row r="55" spans="1:12" ht="43.8" thickBot="1" x14ac:dyDescent="0.35">
      <c r="A55" s="1" t="s">
        <v>359</v>
      </c>
      <c r="B55" s="1" t="s">
        <v>87</v>
      </c>
      <c r="C55" s="3">
        <v>967213476</v>
      </c>
      <c r="D55" s="5">
        <v>2990000</v>
      </c>
      <c r="E55" s="4">
        <v>4</v>
      </c>
      <c r="F55" s="4">
        <f>Table2[[#This Row],[Số lượng ]]*Table2[[#This Row],[Giá bán]]</f>
        <v>11960000</v>
      </c>
      <c r="G55" s="2">
        <v>45630</v>
      </c>
      <c r="H55" s="1" t="s">
        <v>7</v>
      </c>
      <c r="I55" s="1" t="s">
        <v>8</v>
      </c>
      <c r="J55" s="1" t="s">
        <v>22</v>
      </c>
      <c r="K55" s="1">
        <f>WEEKNUM(Table2[[#This Row],[Date]])</f>
        <v>49</v>
      </c>
      <c r="L55" s="1">
        <f>MONTH(Table2[[#This Row],[Date]])</f>
        <v>12</v>
      </c>
    </row>
    <row r="56" spans="1:12" ht="29.4" thickBot="1" x14ac:dyDescent="0.35">
      <c r="A56" s="1" t="s">
        <v>360</v>
      </c>
      <c r="B56" s="1" t="s">
        <v>88</v>
      </c>
      <c r="C56" s="3">
        <v>936096655</v>
      </c>
      <c r="D56" s="5">
        <v>5290000</v>
      </c>
      <c r="E56" s="4">
        <v>4</v>
      </c>
      <c r="F56" s="4">
        <f>Table2[[#This Row],[Số lượng ]]*Table2[[#This Row],[Giá bán]]</f>
        <v>21160000</v>
      </c>
      <c r="G56" s="2">
        <v>45649</v>
      </c>
      <c r="H56" s="1" t="s">
        <v>4</v>
      </c>
      <c r="I56" s="1" t="s">
        <v>8</v>
      </c>
      <c r="J56" s="1" t="s">
        <v>27</v>
      </c>
      <c r="K56" s="1">
        <f>WEEKNUM(Table2[[#This Row],[Date]])</f>
        <v>52</v>
      </c>
      <c r="L56" s="1">
        <f>MONTH(Table2[[#This Row],[Date]])</f>
        <v>12</v>
      </c>
    </row>
    <row r="57" spans="1:12" ht="43.8" thickBot="1" x14ac:dyDescent="0.35">
      <c r="A57" s="1" t="s">
        <v>361</v>
      </c>
      <c r="B57" s="1" t="s">
        <v>89</v>
      </c>
      <c r="C57" s="3">
        <v>995594482</v>
      </c>
      <c r="D57" s="5">
        <v>2990000</v>
      </c>
      <c r="E57" s="4">
        <v>4</v>
      </c>
      <c r="F57" s="4">
        <f>Table2[[#This Row],[Số lượng ]]*Table2[[#This Row],[Giá bán]]</f>
        <v>11960000</v>
      </c>
      <c r="G57" s="2">
        <v>45656</v>
      </c>
      <c r="H57" s="1" t="s">
        <v>13</v>
      </c>
      <c r="I57" s="1" t="s">
        <v>8</v>
      </c>
      <c r="J57" s="1" t="s">
        <v>22</v>
      </c>
      <c r="K57" s="1">
        <f>WEEKNUM(Table2[[#This Row],[Date]])</f>
        <v>53</v>
      </c>
      <c r="L57" s="1">
        <f>MONTH(Table2[[#This Row],[Date]])</f>
        <v>12</v>
      </c>
    </row>
    <row r="58" spans="1:12" ht="29.4" thickBot="1" x14ac:dyDescent="0.35">
      <c r="A58" s="1" t="s">
        <v>362</v>
      </c>
      <c r="B58" s="1" t="s">
        <v>90</v>
      </c>
      <c r="C58" s="3">
        <v>929777514</v>
      </c>
      <c r="D58" s="5">
        <v>12500000</v>
      </c>
      <c r="E58" s="4">
        <v>2</v>
      </c>
      <c r="F58" s="4">
        <f>Table2[[#This Row],[Số lượng ]]*Table2[[#This Row],[Giá bán]]</f>
        <v>25000000</v>
      </c>
      <c r="G58" s="2">
        <v>45334</v>
      </c>
      <c r="H58" s="1" t="s">
        <v>13</v>
      </c>
      <c r="I58" s="1" t="s">
        <v>5</v>
      </c>
      <c r="J58" s="1" t="s">
        <v>29</v>
      </c>
      <c r="K58" s="1">
        <f>WEEKNUM(Table2[[#This Row],[Date]])</f>
        <v>7</v>
      </c>
      <c r="L58" s="1">
        <f>MONTH(Table2[[#This Row],[Date]])</f>
        <v>2</v>
      </c>
    </row>
    <row r="59" spans="1:12" ht="58.2" thickBot="1" x14ac:dyDescent="0.35">
      <c r="A59" s="1" t="s">
        <v>363</v>
      </c>
      <c r="B59" s="1" t="s">
        <v>91</v>
      </c>
      <c r="C59" s="3">
        <v>959823245</v>
      </c>
      <c r="D59" s="5">
        <v>450000</v>
      </c>
      <c r="E59" s="4">
        <v>5</v>
      </c>
      <c r="F59" s="4">
        <f>Table2[[#This Row],[Số lượng ]]*Table2[[#This Row],[Giá bán]]</f>
        <v>2250000</v>
      </c>
      <c r="G59" s="2">
        <v>45656</v>
      </c>
      <c r="H59" s="1" t="s">
        <v>13</v>
      </c>
      <c r="I59" s="1" t="s">
        <v>8</v>
      </c>
      <c r="J59" s="1" t="s">
        <v>21</v>
      </c>
      <c r="K59" s="1">
        <f>WEEKNUM(Table2[[#This Row],[Date]])</f>
        <v>53</v>
      </c>
      <c r="L59" s="1">
        <f>MONTH(Table2[[#This Row],[Date]])</f>
        <v>12</v>
      </c>
    </row>
    <row r="60" spans="1:12" ht="29.4" thickBot="1" x14ac:dyDescent="0.35">
      <c r="A60" s="1" t="s">
        <v>364</v>
      </c>
      <c r="B60" s="1" t="s">
        <v>92</v>
      </c>
      <c r="C60" s="3">
        <v>983284724</v>
      </c>
      <c r="D60" s="5">
        <v>18490000</v>
      </c>
      <c r="E60" s="4">
        <v>1</v>
      </c>
      <c r="F60" s="4">
        <f>Table2[[#This Row],[Số lượng ]]*Table2[[#This Row],[Giá bán]]</f>
        <v>18490000</v>
      </c>
      <c r="G60" s="2">
        <v>45653</v>
      </c>
      <c r="H60" s="1" t="s">
        <v>4</v>
      </c>
      <c r="I60" s="1" t="s">
        <v>16</v>
      </c>
      <c r="J60" s="1" t="s">
        <v>17</v>
      </c>
      <c r="K60" s="1">
        <f>WEEKNUM(Table2[[#This Row],[Date]])</f>
        <v>52</v>
      </c>
      <c r="L60" s="1">
        <f>MONTH(Table2[[#This Row],[Date]])</f>
        <v>12</v>
      </c>
    </row>
    <row r="61" spans="1:12" ht="15" thickBot="1" x14ac:dyDescent="0.35">
      <c r="A61" s="1" t="s">
        <v>365</v>
      </c>
      <c r="B61" s="1" t="s">
        <v>93</v>
      </c>
      <c r="C61" s="3">
        <v>917507864</v>
      </c>
      <c r="D61" s="5">
        <v>9990000</v>
      </c>
      <c r="E61" s="4">
        <v>2</v>
      </c>
      <c r="F61" s="4">
        <f>Table2[[#This Row],[Số lượng ]]*Table2[[#This Row],[Giá bán]]</f>
        <v>19980000</v>
      </c>
      <c r="G61" s="2">
        <v>45653</v>
      </c>
      <c r="H61" s="1" t="s">
        <v>13</v>
      </c>
      <c r="I61" s="1" t="s">
        <v>5</v>
      </c>
      <c r="J61" s="1" t="s">
        <v>6</v>
      </c>
      <c r="K61" s="1">
        <f>WEEKNUM(Table2[[#This Row],[Date]])</f>
        <v>52</v>
      </c>
      <c r="L61" s="1">
        <f>MONTH(Table2[[#This Row],[Date]])</f>
        <v>12</v>
      </c>
    </row>
    <row r="62" spans="1:12" ht="29.4" thickBot="1" x14ac:dyDescent="0.35">
      <c r="A62" s="1" t="s">
        <v>366</v>
      </c>
      <c r="B62" s="1" t="s">
        <v>94</v>
      </c>
      <c r="C62" s="3">
        <v>933763566</v>
      </c>
      <c r="D62" s="5">
        <v>8900000</v>
      </c>
      <c r="E62" s="4">
        <v>2</v>
      </c>
      <c r="F62" s="4">
        <f>Table2[[#This Row],[Số lượng ]]*Table2[[#This Row],[Giá bán]]</f>
        <v>17800000</v>
      </c>
      <c r="G62" s="2">
        <v>45303</v>
      </c>
      <c r="H62" s="1" t="s">
        <v>4</v>
      </c>
      <c r="I62" s="1" t="s">
        <v>16</v>
      </c>
      <c r="J62" s="1" t="s">
        <v>19</v>
      </c>
      <c r="K62" s="1">
        <f>WEEKNUM(Table2[[#This Row],[Date]])</f>
        <v>2</v>
      </c>
      <c r="L62" s="1">
        <f>MONTH(Table2[[#This Row],[Date]])</f>
        <v>1</v>
      </c>
    </row>
    <row r="63" spans="1:12" ht="29.4" thickBot="1" x14ac:dyDescent="0.35">
      <c r="A63" s="1" t="s">
        <v>367</v>
      </c>
      <c r="B63" s="1" t="s">
        <v>95</v>
      </c>
      <c r="C63" s="3">
        <v>985500790</v>
      </c>
      <c r="D63" s="5">
        <v>9990000</v>
      </c>
      <c r="E63" s="4">
        <v>1</v>
      </c>
      <c r="F63" s="4">
        <f>Table2[[#This Row],[Số lượng ]]*Table2[[#This Row],[Giá bán]]</f>
        <v>9990000</v>
      </c>
      <c r="G63" s="2">
        <v>45650</v>
      </c>
      <c r="H63" s="1" t="s">
        <v>4</v>
      </c>
      <c r="I63" s="1" t="s">
        <v>5</v>
      </c>
      <c r="J63" s="1" t="s">
        <v>6</v>
      </c>
      <c r="K63" s="1">
        <f>WEEKNUM(Table2[[#This Row],[Date]])</f>
        <v>52</v>
      </c>
      <c r="L63" s="1">
        <f>MONTH(Table2[[#This Row],[Date]])</f>
        <v>12</v>
      </c>
    </row>
    <row r="64" spans="1:12" ht="29.4" thickBot="1" x14ac:dyDescent="0.35">
      <c r="A64" s="1" t="s">
        <v>368</v>
      </c>
      <c r="B64" s="1" t="s">
        <v>96</v>
      </c>
      <c r="C64" s="3">
        <v>999508850</v>
      </c>
      <c r="D64" s="5">
        <v>8900000</v>
      </c>
      <c r="E64" s="4">
        <v>2</v>
      </c>
      <c r="F64" s="4">
        <f>Table2[[#This Row],[Số lượng ]]*Table2[[#This Row],[Giá bán]]</f>
        <v>17800000</v>
      </c>
      <c r="G64" s="2">
        <v>45637</v>
      </c>
      <c r="H64" s="1" t="s">
        <v>7</v>
      </c>
      <c r="I64" s="1" t="s">
        <v>16</v>
      </c>
      <c r="J64" s="1" t="s">
        <v>19</v>
      </c>
      <c r="K64" s="1">
        <f>WEEKNUM(Table2[[#This Row],[Date]])</f>
        <v>50</v>
      </c>
      <c r="L64" s="1">
        <f>MONTH(Table2[[#This Row],[Date]])</f>
        <v>12</v>
      </c>
    </row>
    <row r="65" spans="1:12" ht="29.4" thickBot="1" x14ac:dyDescent="0.35">
      <c r="A65" s="1" t="s">
        <v>369</v>
      </c>
      <c r="B65" s="1" t="s">
        <v>97</v>
      </c>
      <c r="C65" s="3">
        <v>922097496</v>
      </c>
      <c r="D65" s="5">
        <v>12500000</v>
      </c>
      <c r="E65" s="4">
        <v>2</v>
      </c>
      <c r="F65" s="4">
        <f>Table2[[#This Row],[Số lượng ]]*Table2[[#This Row],[Giá bán]]</f>
        <v>25000000</v>
      </c>
      <c r="G65" s="2">
        <v>45608</v>
      </c>
      <c r="H65" s="1" t="s">
        <v>4</v>
      </c>
      <c r="I65" s="1" t="s">
        <v>16</v>
      </c>
      <c r="J65" s="1" t="s">
        <v>18</v>
      </c>
      <c r="K65" s="1">
        <f>WEEKNUM(Table2[[#This Row],[Date]])</f>
        <v>46</v>
      </c>
      <c r="L65" s="1">
        <f>MONTH(Table2[[#This Row],[Date]])</f>
        <v>11</v>
      </c>
    </row>
    <row r="66" spans="1:12" ht="29.4" thickBot="1" x14ac:dyDescent="0.35">
      <c r="A66" s="1" t="s">
        <v>370</v>
      </c>
      <c r="B66" s="1" t="s">
        <v>98</v>
      </c>
      <c r="C66" s="3">
        <v>990859912</v>
      </c>
      <c r="D66" s="5">
        <v>15990000</v>
      </c>
      <c r="E66" s="4">
        <v>2</v>
      </c>
      <c r="F66" s="4">
        <f>Table2[[#This Row],[Số lượng ]]*Table2[[#This Row],[Giá bán]]</f>
        <v>31980000</v>
      </c>
      <c r="G66" s="2">
        <v>45644</v>
      </c>
      <c r="H66" s="1" t="s">
        <v>4</v>
      </c>
      <c r="I66" s="1" t="s">
        <v>5</v>
      </c>
      <c r="J66" s="1" t="s">
        <v>14</v>
      </c>
      <c r="K66" s="1">
        <f>WEEKNUM(Table2[[#This Row],[Date]])</f>
        <v>51</v>
      </c>
      <c r="L66" s="1">
        <f>MONTH(Table2[[#This Row],[Date]])</f>
        <v>12</v>
      </c>
    </row>
    <row r="67" spans="1:12" ht="29.4" thickBot="1" x14ac:dyDescent="0.35">
      <c r="A67" s="1" t="s">
        <v>371</v>
      </c>
      <c r="B67" s="1" t="s">
        <v>99</v>
      </c>
      <c r="C67" s="3">
        <v>915134794</v>
      </c>
      <c r="D67" s="5">
        <v>18990000</v>
      </c>
      <c r="E67" s="4">
        <v>2</v>
      </c>
      <c r="F67" s="4">
        <f>Table2[[#This Row],[Số lượng ]]*Table2[[#This Row],[Giá bán]]</f>
        <v>37980000</v>
      </c>
      <c r="G67" s="2">
        <v>45646</v>
      </c>
      <c r="H67" s="1" t="s">
        <v>7</v>
      </c>
      <c r="I67" s="1" t="s">
        <v>5</v>
      </c>
      <c r="J67" s="1" t="s">
        <v>11</v>
      </c>
      <c r="K67" s="1">
        <f>WEEKNUM(Table2[[#This Row],[Date]])</f>
        <v>51</v>
      </c>
      <c r="L67" s="1">
        <f>MONTH(Table2[[#This Row],[Date]])</f>
        <v>12</v>
      </c>
    </row>
    <row r="68" spans="1:12" ht="29.4" thickBot="1" x14ac:dyDescent="0.35">
      <c r="A68" s="1" t="s">
        <v>372</v>
      </c>
      <c r="B68" s="1" t="s">
        <v>100</v>
      </c>
      <c r="C68" s="3">
        <v>982394227</v>
      </c>
      <c r="D68" s="5">
        <v>190000</v>
      </c>
      <c r="E68" s="4">
        <v>1</v>
      </c>
      <c r="F68" s="4">
        <f>Table2[[#This Row],[Số lượng ]]*Table2[[#This Row],[Giá bán]]</f>
        <v>190000</v>
      </c>
      <c r="G68" s="2">
        <v>45656</v>
      </c>
      <c r="H68" s="1" t="s">
        <v>13</v>
      </c>
      <c r="I68" s="1" t="s">
        <v>8</v>
      </c>
      <c r="J68" s="1" t="s">
        <v>20</v>
      </c>
      <c r="K68" s="1">
        <f>WEEKNUM(Table2[[#This Row],[Date]])</f>
        <v>53</v>
      </c>
      <c r="L68" s="1">
        <f>MONTH(Table2[[#This Row],[Date]])</f>
        <v>12</v>
      </c>
    </row>
    <row r="69" spans="1:12" ht="29.4" thickBot="1" x14ac:dyDescent="0.35">
      <c r="A69" s="1" t="s">
        <v>373</v>
      </c>
      <c r="B69" s="1" t="s">
        <v>101</v>
      </c>
      <c r="C69" s="3">
        <v>964362516</v>
      </c>
      <c r="D69" s="5">
        <v>12500000</v>
      </c>
      <c r="E69" s="4">
        <v>1</v>
      </c>
      <c r="F69" s="4">
        <f>Table2[[#This Row],[Số lượng ]]*Table2[[#This Row],[Giá bán]]</f>
        <v>12500000</v>
      </c>
      <c r="G69" s="2">
        <v>45657</v>
      </c>
      <c r="H69" s="1" t="s">
        <v>4</v>
      </c>
      <c r="I69" s="1" t="s">
        <v>5</v>
      </c>
      <c r="J69" s="1" t="s">
        <v>29</v>
      </c>
      <c r="K69" s="1">
        <f>WEEKNUM(Table2[[#This Row],[Date]])</f>
        <v>53</v>
      </c>
      <c r="L69" s="1">
        <f>MONTH(Table2[[#This Row],[Date]])</f>
        <v>12</v>
      </c>
    </row>
    <row r="70" spans="1:12" ht="29.4" thickBot="1" x14ac:dyDescent="0.35">
      <c r="A70" s="1" t="s">
        <v>374</v>
      </c>
      <c r="B70" s="1" t="s">
        <v>102</v>
      </c>
      <c r="C70" s="3">
        <v>955246430</v>
      </c>
      <c r="D70" s="5">
        <v>12500000</v>
      </c>
      <c r="E70" s="4">
        <v>1</v>
      </c>
      <c r="F70" s="4">
        <f>Table2[[#This Row],[Số lượng ]]*Table2[[#This Row],[Giá bán]]</f>
        <v>12500000</v>
      </c>
      <c r="G70" s="2">
        <v>45645</v>
      </c>
      <c r="H70" s="1" t="s">
        <v>4</v>
      </c>
      <c r="I70" s="1" t="s">
        <v>16</v>
      </c>
      <c r="J70" s="1" t="s">
        <v>18</v>
      </c>
      <c r="K70" s="1">
        <f>WEEKNUM(Table2[[#This Row],[Date]])</f>
        <v>51</v>
      </c>
      <c r="L70" s="1">
        <f>MONTH(Table2[[#This Row],[Date]])</f>
        <v>12</v>
      </c>
    </row>
    <row r="71" spans="1:12" ht="29.4" thickBot="1" x14ac:dyDescent="0.35">
      <c r="A71" s="1" t="s">
        <v>375</v>
      </c>
      <c r="B71" s="1" t="s">
        <v>103</v>
      </c>
      <c r="C71" s="3">
        <v>929042093</v>
      </c>
      <c r="D71" s="5">
        <v>250000</v>
      </c>
      <c r="E71" s="4">
        <v>1</v>
      </c>
      <c r="F71" s="4">
        <f>Table2[[#This Row],[Số lượng ]]*Table2[[#This Row],[Giá bán]]</f>
        <v>250000</v>
      </c>
      <c r="G71" s="2">
        <v>45647</v>
      </c>
      <c r="H71" s="1" t="s">
        <v>7</v>
      </c>
      <c r="I71" s="1" t="s">
        <v>8</v>
      </c>
      <c r="J71" s="1" t="s">
        <v>31</v>
      </c>
      <c r="K71" s="1">
        <f>WEEKNUM(Table2[[#This Row],[Date]])</f>
        <v>51</v>
      </c>
      <c r="L71" s="1">
        <f>MONTH(Table2[[#This Row],[Date]])</f>
        <v>12</v>
      </c>
    </row>
    <row r="72" spans="1:12" ht="43.8" thickBot="1" x14ac:dyDescent="0.35">
      <c r="A72" s="1" t="s">
        <v>376</v>
      </c>
      <c r="B72" s="1" t="s">
        <v>104</v>
      </c>
      <c r="C72" s="3">
        <v>911049999</v>
      </c>
      <c r="D72" s="5">
        <v>2990000</v>
      </c>
      <c r="E72" s="4">
        <v>3</v>
      </c>
      <c r="F72" s="4">
        <f>Table2[[#This Row],[Số lượng ]]*Table2[[#This Row],[Giá bán]]</f>
        <v>8970000</v>
      </c>
      <c r="G72" s="2">
        <v>45653</v>
      </c>
      <c r="H72" s="1" t="s">
        <v>13</v>
      </c>
      <c r="I72" s="1" t="s">
        <v>8</v>
      </c>
      <c r="J72" s="1" t="s">
        <v>22</v>
      </c>
      <c r="K72" s="1">
        <f>WEEKNUM(Table2[[#This Row],[Date]])</f>
        <v>52</v>
      </c>
      <c r="L72" s="1">
        <f>MONTH(Table2[[#This Row],[Date]])</f>
        <v>12</v>
      </c>
    </row>
    <row r="73" spans="1:12" ht="58.2" thickBot="1" x14ac:dyDescent="0.35">
      <c r="A73" s="1" t="s">
        <v>377</v>
      </c>
      <c r="B73" s="1" t="s">
        <v>105</v>
      </c>
      <c r="C73" s="3">
        <v>954410148</v>
      </c>
      <c r="D73" s="5">
        <v>450000</v>
      </c>
      <c r="E73" s="4">
        <v>1</v>
      </c>
      <c r="F73" s="4">
        <f>Table2[[#This Row],[Số lượng ]]*Table2[[#This Row],[Giá bán]]</f>
        <v>450000</v>
      </c>
      <c r="G73" s="2">
        <v>45641</v>
      </c>
      <c r="H73" s="1" t="s">
        <v>7</v>
      </c>
      <c r="I73" s="1" t="s">
        <v>8</v>
      </c>
      <c r="J73" s="1" t="s">
        <v>21</v>
      </c>
      <c r="K73" s="1">
        <f>WEEKNUM(Table2[[#This Row],[Date]])</f>
        <v>51</v>
      </c>
      <c r="L73" s="1">
        <f>MONTH(Table2[[#This Row],[Date]])</f>
        <v>12</v>
      </c>
    </row>
    <row r="74" spans="1:12" ht="29.4" thickBot="1" x14ac:dyDescent="0.35">
      <c r="A74" s="1" t="s">
        <v>378</v>
      </c>
      <c r="B74" s="1" t="s">
        <v>106</v>
      </c>
      <c r="C74" s="3">
        <v>977674279</v>
      </c>
      <c r="D74" s="5">
        <v>350000</v>
      </c>
      <c r="E74" s="4">
        <v>1</v>
      </c>
      <c r="F74" s="4">
        <f>Table2[[#This Row],[Số lượng ]]*Table2[[#This Row],[Giá bán]]</f>
        <v>350000</v>
      </c>
      <c r="G74" s="2">
        <v>45547</v>
      </c>
      <c r="H74" s="1" t="s">
        <v>7</v>
      </c>
      <c r="I74" s="1" t="s">
        <v>8</v>
      </c>
      <c r="J74" s="1" t="s">
        <v>9</v>
      </c>
      <c r="K74" s="1">
        <f>WEEKNUM(Table2[[#This Row],[Date]])</f>
        <v>37</v>
      </c>
      <c r="L74" s="1">
        <f>MONTH(Table2[[#This Row],[Date]])</f>
        <v>9</v>
      </c>
    </row>
    <row r="75" spans="1:12" ht="43.8" thickBot="1" x14ac:dyDescent="0.35">
      <c r="A75" s="1" t="s">
        <v>379</v>
      </c>
      <c r="B75" s="1" t="s">
        <v>107</v>
      </c>
      <c r="C75" s="3">
        <v>943491314</v>
      </c>
      <c r="D75" s="5">
        <v>2990000</v>
      </c>
      <c r="E75" s="4">
        <v>5</v>
      </c>
      <c r="F75" s="4">
        <f>Table2[[#This Row],[Số lượng ]]*Table2[[#This Row],[Giá bán]]</f>
        <v>14950000</v>
      </c>
      <c r="G75" s="2">
        <v>45630</v>
      </c>
      <c r="H75" s="1" t="s">
        <v>4</v>
      </c>
      <c r="I75" s="1" t="s">
        <v>8</v>
      </c>
      <c r="J75" s="1" t="s">
        <v>22</v>
      </c>
      <c r="K75" s="1">
        <f>WEEKNUM(Table2[[#This Row],[Date]])</f>
        <v>49</v>
      </c>
      <c r="L75" s="1">
        <f>MONTH(Table2[[#This Row],[Date]])</f>
        <v>12</v>
      </c>
    </row>
    <row r="76" spans="1:12" ht="29.4" thickBot="1" x14ac:dyDescent="0.35">
      <c r="A76" s="1" t="s">
        <v>380</v>
      </c>
      <c r="B76" s="1" t="s">
        <v>108</v>
      </c>
      <c r="C76" s="3">
        <v>919736572</v>
      </c>
      <c r="D76" s="5">
        <v>12500000</v>
      </c>
      <c r="E76" s="4">
        <v>1</v>
      </c>
      <c r="F76" s="4">
        <f>Table2[[#This Row],[Số lượng ]]*Table2[[#This Row],[Giá bán]]</f>
        <v>12500000</v>
      </c>
      <c r="G76" s="2">
        <v>45641</v>
      </c>
      <c r="H76" s="1" t="s">
        <v>4</v>
      </c>
      <c r="I76" s="1" t="s">
        <v>5</v>
      </c>
      <c r="J76" s="1" t="s">
        <v>29</v>
      </c>
      <c r="K76" s="1">
        <f>WEEKNUM(Table2[[#This Row],[Date]])</f>
        <v>51</v>
      </c>
      <c r="L76" s="1">
        <f>MONTH(Table2[[#This Row],[Date]])</f>
        <v>12</v>
      </c>
    </row>
    <row r="77" spans="1:12" ht="29.4" thickBot="1" x14ac:dyDescent="0.35">
      <c r="A77" s="1" t="s">
        <v>381</v>
      </c>
      <c r="B77" s="1" t="s">
        <v>109</v>
      </c>
      <c r="C77" s="3">
        <v>991259008</v>
      </c>
      <c r="D77" s="5">
        <v>8900000</v>
      </c>
      <c r="E77" s="4">
        <v>1</v>
      </c>
      <c r="F77" s="4">
        <f>Table2[[#This Row],[Số lượng ]]*Table2[[#This Row],[Giá bán]]</f>
        <v>8900000</v>
      </c>
      <c r="G77" s="2">
        <v>45394</v>
      </c>
      <c r="H77" s="1" t="s">
        <v>4</v>
      </c>
      <c r="I77" s="1" t="s">
        <v>16</v>
      </c>
      <c r="J77" s="1" t="s">
        <v>19</v>
      </c>
      <c r="K77" s="1">
        <f>WEEKNUM(Table2[[#This Row],[Date]])</f>
        <v>15</v>
      </c>
      <c r="L77" s="1">
        <f>MONTH(Table2[[#This Row],[Date]])</f>
        <v>4</v>
      </c>
    </row>
    <row r="78" spans="1:12" ht="58.2" thickBot="1" x14ac:dyDescent="0.35">
      <c r="A78" s="1" t="s">
        <v>382</v>
      </c>
      <c r="B78" s="1" t="s">
        <v>110</v>
      </c>
      <c r="C78" s="3">
        <v>961940566</v>
      </c>
      <c r="D78" s="5">
        <v>450000</v>
      </c>
      <c r="E78" s="4">
        <v>3</v>
      </c>
      <c r="F78" s="4">
        <f>Table2[[#This Row],[Số lượng ]]*Table2[[#This Row],[Giá bán]]</f>
        <v>1350000</v>
      </c>
      <c r="G78" s="2">
        <v>45630</v>
      </c>
      <c r="H78" s="1" t="s">
        <v>4</v>
      </c>
      <c r="I78" s="1" t="s">
        <v>8</v>
      </c>
      <c r="J78" s="1" t="s">
        <v>21</v>
      </c>
      <c r="K78" s="1">
        <f>WEEKNUM(Table2[[#This Row],[Date]])</f>
        <v>49</v>
      </c>
      <c r="L78" s="1">
        <f>MONTH(Table2[[#This Row],[Date]])</f>
        <v>12</v>
      </c>
    </row>
    <row r="79" spans="1:12" ht="29.4" thickBot="1" x14ac:dyDescent="0.35">
      <c r="A79" s="1" t="s">
        <v>383</v>
      </c>
      <c r="B79" s="1" t="s">
        <v>111</v>
      </c>
      <c r="C79" s="3">
        <v>998043078</v>
      </c>
      <c r="D79" s="5">
        <v>6990000</v>
      </c>
      <c r="E79" s="4">
        <v>1</v>
      </c>
      <c r="F79" s="4">
        <f>Table2[[#This Row],[Số lượng ]]*Table2[[#This Row],[Giá bán]]</f>
        <v>6990000</v>
      </c>
      <c r="G79" s="2">
        <v>45650</v>
      </c>
      <c r="H79" s="1" t="s">
        <v>7</v>
      </c>
      <c r="I79" s="1" t="s">
        <v>5</v>
      </c>
      <c r="J79" s="1" t="s">
        <v>28</v>
      </c>
      <c r="K79" s="1">
        <f>WEEKNUM(Table2[[#This Row],[Date]])</f>
        <v>52</v>
      </c>
      <c r="L79" s="1">
        <f>MONTH(Table2[[#This Row],[Date]])</f>
        <v>12</v>
      </c>
    </row>
    <row r="80" spans="1:12" ht="29.4" thickBot="1" x14ac:dyDescent="0.35">
      <c r="A80" s="1" t="s">
        <v>384</v>
      </c>
      <c r="B80" s="1" t="s">
        <v>112</v>
      </c>
      <c r="C80" s="3">
        <v>993955206</v>
      </c>
      <c r="D80" s="5">
        <v>18990000</v>
      </c>
      <c r="E80" s="4">
        <v>1</v>
      </c>
      <c r="F80" s="4">
        <f>Table2[[#This Row],[Số lượng ]]*Table2[[#This Row],[Giá bán]]</f>
        <v>18990000</v>
      </c>
      <c r="G80" s="2">
        <v>45547</v>
      </c>
      <c r="H80" s="1" t="s">
        <v>4</v>
      </c>
      <c r="I80" s="1" t="s">
        <v>5</v>
      </c>
      <c r="J80" s="1" t="s">
        <v>10</v>
      </c>
      <c r="K80" s="1">
        <f>WEEKNUM(Table2[[#This Row],[Date]])</f>
        <v>37</v>
      </c>
      <c r="L80" s="1">
        <f>MONTH(Table2[[#This Row],[Date]])</f>
        <v>9</v>
      </c>
    </row>
    <row r="81" spans="1:12" ht="29.4" thickBot="1" x14ac:dyDescent="0.35">
      <c r="A81" s="1" t="s">
        <v>385</v>
      </c>
      <c r="B81" s="1" t="s">
        <v>113</v>
      </c>
      <c r="C81" s="3">
        <v>914265799</v>
      </c>
      <c r="D81" s="5">
        <v>12500000</v>
      </c>
      <c r="E81" s="4">
        <v>1</v>
      </c>
      <c r="F81" s="4">
        <f>Table2[[#This Row],[Số lượng ]]*Table2[[#This Row],[Giá bán]]</f>
        <v>12500000</v>
      </c>
      <c r="G81" s="2">
        <v>45363</v>
      </c>
      <c r="H81" s="1" t="s">
        <v>4</v>
      </c>
      <c r="I81" s="1" t="s">
        <v>5</v>
      </c>
      <c r="J81" s="1" t="s">
        <v>29</v>
      </c>
      <c r="K81" s="1">
        <f>WEEKNUM(Table2[[#This Row],[Date]])</f>
        <v>11</v>
      </c>
      <c r="L81" s="1">
        <f>MONTH(Table2[[#This Row],[Date]])</f>
        <v>3</v>
      </c>
    </row>
    <row r="82" spans="1:12" ht="29.4" thickBot="1" x14ac:dyDescent="0.35">
      <c r="A82" s="1" t="s">
        <v>386</v>
      </c>
      <c r="B82" s="1" t="s">
        <v>114</v>
      </c>
      <c r="C82" s="3">
        <v>922007214</v>
      </c>
      <c r="D82" s="5">
        <v>3990000</v>
      </c>
      <c r="E82" s="4">
        <v>5</v>
      </c>
      <c r="F82" s="4">
        <f>Table2[[#This Row],[Số lượng ]]*Table2[[#This Row],[Giá bán]]</f>
        <v>19950000</v>
      </c>
      <c r="G82" s="2">
        <v>45645</v>
      </c>
      <c r="H82" s="1" t="s">
        <v>13</v>
      </c>
      <c r="I82" s="1" t="s">
        <v>8</v>
      </c>
      <c r="J82" s="1" t="s">
        <v>26</v>
      </c>
      <c r="K82" s="1">
        <f>WEEKNUM(Table2[[#This Row],[Date]])</f>
        <v>51</v>
      </c>
      <c r="L82" s="1">
        <f>MONTH(Table2[[#This Row],[Date]])</f>
        <v>12</v>
      </c>
    </row>
    <row r="83" spans="1:12" ht="29.4" thickBot="1" x14ac:dyDescent="0.35">
      <c r="A83" s="1" t="s">
        <v>387</v>
      </c>
      <c r="B83" s="1" t="s">
        <v>115</v>
      </c>
      <c r="C83" s="3">
        <v>931810655</v>
      </c>
      <c r="D83" s="5">
        <v>8990000</v>
      </c>
      <c r="E83" s="4">
        <v>2</v>
      </c>
      <c r="F83" s="4">
        <f>Table2[[#This Row],[Số lượng ]]*Table2[[#This Row],[Giá bán]]</f>
        <v>17980000</v>
      </c>
      <c r="G83" s="2">
        <v>45646</v>
      </c>
      <c r="H83" s="1" t="s">
        <v>4</v>
      </c>
      <c r="I83" s="1" t="s">
        <v>16</v>
      </c>
      <c r="J83" s="1" t="s">
        <v>32</v>
      </c>
      <c r="K83" s="1">
        <f>WEEKNUM(Table2[[#This Row],[Date]])</f>
        <v>51</v>
      </c>
      <c r="L83" s="1">
        <f>MONTH(Table2[[#This Row],[Date]])</f>
        <v>12</v>
      </c>
    </row>
    <row r="84" spans="1:12" ht="43.8" thickBot="1" x14ac:dyDescent="0.35">
      <c r="A84" s="1" t="s">
        <v>388</v>
      </c>
      <c r="B84" s="1" t="s">
        <v>116</v>
      </c>
      <c r="C84" s="3">
        <v>929163535</v>
      </c>
      <c r="D84" s="5">
        <v>80000</v>
      </c>
      <c r="E84" s="4">
        <v>1</v>
      </c>
      <c r="F84" s="4">
        <f>Table2[[#This Row],[Số lượng ]]*Table2[[#This Row],[Giá bán]]</f>
        <v>80000</v>
      </c>
      <c r="G84" s="2">
        <v>45648</v>
      </c>
      <c r="H84" s="1" t="s">
        <v>4</v>
      </c>
      <c r="I84" s="1" t="s">
        <v>8</v>
      </c>
      <c r="J84" s="1" t="s">
        <v>12</v>
      </c>
      <c r="K84" s="1">
        <f>WEEKNUM(Table2[[#This Row],[Date]])</f>
        <v>52</v>
      </c>
      <c r="L84" s="1">
        <f>MONTH(Table2[[#This Row],[Date]])</f>
        <v>12</v>
      </c>
    </row>
    <row r="85" spans="1:12" ht="29.4" thickBot="1" x14ac:dyDescent="0.35">
      <c r="A85" s="1" t="s">
        <v>389</v>
      </c>
      <c r="B85" s="1" t="s">
        <v>117</v>
      </c>
      <c r="C85" s="3">
        <v>982232344</v>
      </c>
      <c r="D85" s="5">
        <v>190000</v>
      </c>
      <c r="E85" s="4">
        <v>4</v>
      </c>
      <c r="F85" s="4">
        <f>Table2[[#This Row],[Số lượng ]]*Table2[[#This Row],[Giá bán]]</f>
        <v>760000</v>
      </c>
      <c r="G85" s="2">
        <v>45642</v>
      </c>
      <c r="H85" s="1" t="s">
        <v>7</v>
      </c>
      <c r="I85" s="1" t="s">
        <v>8</v>
      </c>
      <c r="J85" s="1" t="s">
        <v>20</v>
      </c>
      <c r="K85" s="1">
        <f>WEEKNUM(Table2[[#This Row],[Date]])</f>
        <v>51</v>
      </c>
      <c r="L85" s="1">
        <f>MONTH(Table2[[#This Row],[Date]])</f>
        <v>12</v>
      </c>
    </row>
    <row r="86" spans="1:12" ht="43.8" thickBot="1" x14ac:dyDescent="0.35">
      <c r="A86" s="1" t="s">
        <v>390</v>
      </c>
      <c r="B86" s="1" t="s">
        <v>118</v>
      </c>
      <c r="C86" s="3">
        <v>921318464</v>
      </c>
      <c r="D86" s="5">
        <v>890000</v>
      </c>
      <c r="E86" s="4">
        <v>1</v>
      </c>
      <c r="F86" s="4">
        <f>Table2[[#This Row],[Số lượng ]]*Table2[[#This Row],[Giá bán]]</f>
        <v>890000</v>
      </c>
      <c r="G86" s="2">
        <v>45647</v>
      </c>
      <c r="H86" s="1" t="s">
        <v>7</v>
      </c>
      <c r="I86" s="1" t="s">
        <v>8</v>
      </c>
      <c r="J86" s="1" t="s">
        <v>33</v>
      </c>
      <c r="K86" s="1">
        <f>WEEKNUM(Table2[[#This Row],[Date]])</f>
        <v>51</v>
      </c>
      <c r="L86" s="1">
        <f>MONTH(Table2[[#This Row],[Date]])</f>
        <v>12</v>
      </c>
    </row>
    <row r="87" spans="1:12" ht="29.4" thickBot="1" x14ac:dyDescent="0.35">
      <c r="A87" s="1" t="s">
        <v>391</v>
      </c>
      <c r="B87" s="1" t="s">
        <v>119</v>
      </c>
      <c r="C87" s="3">
        <v>979654147</v>
      </c>
      <c r="D87" s="5">
        <v>3990000</v>
      </c>
      <c r="E87" s="4">
        <v>2</v>
      </c>
      <c r="F87" s="4">
        <f>Table2[[#This Row],[Số lượng ]]*Table2[[#This Row],[Giá bán]]</f>
        <v>7980000</v>
      </c>
      <c r="G87" s="2">
        <v>45641</v>
      </c>
      <c r="H87" s="1" t="s">
        <v>7</v>
      </c>
      <c r="I87" s="1" t="s">
        <v>8</v>
      </c>
      <c r="J87" s="1" t="s">
        <v>26</v>
      </c>
      <c r="K87" s="1">
        <f>WEEKNUM(Table2[[#This Row],[Date]])</f>
        <v>51</v>
      </c>
      <c r="L87" s="1">
        <f>MONTH(Table2[[#This Row],[Date]])</f>
        <v>12</v>
      </c>
    </row>
    <row r="88" spans="1:12" ht="43.8" thickBot="1" x14ac:dyDescent="0.35">
      <c r="A88" s="1" t="s">
        <v>392</v>
      </c>
      <c r="B88" s="1" t="s">
        <v>120</v>
      </c>
      <c r="C88" s="3">
        <v>920770971</v>
      </c>
      <c r="D88" s="5">
        <v>2990000</v>
      </c>
      <c r="E88" s="4">
        <v>5</v>
      </c>
      <c r="F88" s="4">
        <f>Table2[[#This Row],[Số lượng ]]*Table2[[#This Row],[Giá bán]]</f>
        <v>14950000</v>
      </c>
      <c r="G88" s="2">
        <v>45657</v>
      </c>
      <c r="H88" s="1" t="s">
        <v>7</v>
      </c>
      <c r="I88" s="1" t="s">
        <v>8</v>
      </c>
      <c r="J88" s="1" t="s">
        <v>22</v>
      </c>
      <c r="K88" s="1">
        <f>WEEKNUM(Table2[[#This Row],[Date]])</f>
        <v>53</v>
      </c>
      <c r="L88" s="1">
        <f>MONTH(Table2[[#This Row],[Date]])</f>
        <v>12</v>
      </c>
    </row>
    <row r="89" spans="1:12" ht="29.4" thickBot="1" x14ac:dyDescent="0.35">
      <c r="A89" s="1" t="s">
        <v>393</v>
      </c>
      <c r="B89" s="1" t="s">
        <v>121</v>
      </c>
      <c r="C89" s="3">
        <v>978139880</v>
      </c>
      <c r="D89" s="5">
        <v>18990000</v>
      </c>
      <c r="E89" s="4">
        <v>2</v>
      </c>
      <c r="F89" s="4">
        <f>Table2[[#This Row],[Số lượng ]]*Table2[[#This Row],[Giá bán]]</f>
        <v>37980000</v>
      </c>
      <c r="G89" s="2">
        <v>45654</v>
      </c>
      <c r="H89" s="1" t="s">
        <v>13</v>
      </c>
      <c r="I89" s="1" t="s">
        <v>5</v>
      </c>
      <c r="J89" s="1" t="s">
        <v>11</v>
      </c>
      <c r="K89" s="1">
        <f>WEEKNUM(Table2[[#This Row],[Date]])</f>
        <v>52</v>
      </c>
      <c r="L89" s="1">
        <f>MONTH(Table2[[#This Row],[Date]])</f>
        <v>12</v>
      </c>
    </row>
    <row r="90" spans="1:12" ht="29.4" thickBot="1" x14ac:dyDescent="0.35">
      <c r="A90" s="1" t="s">
        <v>394</v>
      </c>
      <c r="B90" s="1" t="s">
        <v>122</v>
      </c>
      <c r="C90" s="3">
        <v>925372341</v>
      </c>
      <c r="D90" s="5">
        <v>190000</v>
      </c>
      <c r="E90" s="4">
        <v>3</v>
      </c>
      <c r="F90" s="4">
        <f>Table2[[#This Row],[Số lượng ]]*Table2[[#This Row],[Giá bán]]</f>
        <v>570000</v>
      </c>
      <c r="G90" s="2">
        <v>45653</v>
      </c>
      <c r="H90" s="1" t="s">
        <v>7</v>
      </c>
      <c r="I90" s="1" t="s">
        <v>8</v>
      </c>
      <c r="J90" s="1" t="s">
        <v>20</v>
      </c>
      <c r="K90" s="1">
        <f>WEEKNUM(Table2[[#This Row],[Date]])</f>
        <v>52</v>
      </c>
      <c r="L90" s="1">
        <f>MONTH(Table2[[#This Row],[Date]])</f>
        <v>12</v>
      </c>
    </row>
    <row r="91" spans="1:12" ht="15" thickBot="1" x14ac:dyDescent="0.35">
      <c r="A91" s="1" t="s">
        <v>395</v>
      </c>
      <c r="B91" s="1" t="s">
        <v>123</v>
      </c>
      <c r="C91" s="3">
        <v>970505620</v>
      </c>
      <c r="D91" s="5">
        <v>9990000</v>
      </c>
      <c r="E91" s="4">
        <v>2</v>
      </c>
      <c r="F91" s="4">
        <f>Table2[[#This Row],[Số lượng ]]*Table2[[#This Row],[Giá bán]]</f>
        <v>19980000</v>
      </c>
      <c r="G91" s="2">
        <v>45651</v>
      </c>
      <c r="H91" s="1" t="s">
        <v>7</v>
      </c>
      <c r="I91" s="1" t="s">
        <v>5</v>
      </c>
      <c r="J91" s="1" t="s">
        <v>6</v>
      </c>
      <c r="K91" s="1">
        <f>WEEKNUM(Table2[[#This Row],[Date]])</f>
        <v>52</v>
      </c>
      <c r="L91" s="1">
        <f>MONTH(Table2[[#This Row],[Date]])</f>
        <v>12</v>
      </c>
    </row>
    <row r="92" spans="1:12" ht="29.4" thickBot="1" x14ac:dyDescent="0.35">
      <c r="A92" s="1" t="s">
        <v>396</v>
      </c>
      <c r="B92" s="1" t="s">
        <v>124</v>
      </c>
      <c r="C92" s="3">
        <v>998610233</v>
      </c>
      <c r="D92" s="5">
        <v>8900000</v>
      </c>
      <c r="E92" s="4">
        <v>1</v>
      </c>
      <c r="F92" s="4">
        <f>Table2[[#This Row],[Số lượng ]]*Table2[[#This Row],[Giá bán]]</f>
        <v>8900000</v>
      </c>
      <c r="G92" s="2">
        <v>45646</v>
      </c>
      <c r="H92" s="1" t="s">
        <v>4</v>
      </c>
      <c r="I92" s="1" t="s">
        <v>16</v>
      </c>
      <c r="J92" s="1" t="s">
        <v>19</v>
      </c>
      <c r="K92" s="1">
        <f>WEEKNUM(Table2[[#This Row],[Date]])</f>
        <v>51</v>
      </c>
      <c r="L92" s="1">
        <f>MONTH(Table2[[#This Row],[Date]])</f>
        <v>12</v>
      </c>
    </row>
    <row r="93" spans="1:12" ht="58.2" thickBot="1" x14ac:dyDescent="0.35">
      <c r="A93" s="1" t="s">
        <v>397</v>
      </c>
      <c r="B93" s="1" t="s">
        <v>125</v>
      </c>
      <c r="C93" s="3">
        <v>976795767</v>
      </c>
      <c r="D93" s="5">
        <v>280000</v>
      </c>
      <c r="E93" s="4">
        <v>4</v>
      </c>
      <c r="F93" s="4">
        <f>Table2[[#This Row],[Số lượng ]]*Table2[[#This Row],[Giá bán]]</f>
        <v>1120000</v>
      </c>
      <c r="G93" s="2">
        <v>45424</v>
      </c>
      <c r="H93" s="1" t="s">
        <v>7</v>
      </c>
      <c r="I93" s="1" t="s">
        <v>8</v>
      </c>
      <c r="J93" s="1" t="s">
        <v>30</v>
      </c>
      <c r="K93" s="1">
        <f>WEEKNUM(Table2[[#This Row],[Date]])</f>
        <v>20</v>
      </c>
      <c r="L93" s="1">
        <f>MONTH(Table2[[#This Row],[Date]])</f>
        <v>5</v>
      </c>
    </row>
    <row r="94" spans="1:12" ht="29.4" thickBot="1" x14ac:dyDescent="0.35">
      <c r="A94" s="1" t="s">
        <v>398</v>
      </c>
      <c r="B94" s="1" t="s">
        <v>126</v>
      </c>
      <c r="C94" s="3">
        <v>961053877</v>
      </c>
      <c r="D94" s="5">
        <v>150000</v>
      </c>
      <c r="E94" s="4">
        <v>3</v>
      </c>
      <c r="F94" s="4">
        <f>Table2[[#This Row],[Số lượng ]]*Table2[[#This Row],[Giá bán]]</f>
        <v>450000</v>
      </c>
      <c r="G94" s="2">
        <v>45627</v>
      </c>
      <c r="H94" s="1" t="s">
        <v>7</v>
      </c>
      <c r="I94" s="1" t="s">
        <v>8</v>
      </c>
      <c r="J94" s="1" t="s">
        <v>25</v>
      </c>
      <c r="K94" s="1">
        <f>WEEKNUM(Table2[[#This Row],[Date]])</f>
        <v>49</v>
      </c>
      <c r="L94" s="1">
        <f>MONTH(Table2[[#This Row],[Date]])</f>
        <v>12</v>
      </c>
    </row>
    <row r="95" spans="1:12" ht="29.4" thickBot="1" x14ac:dyDescent="0.35">
      <c r="A95" s="1" t="s">
        <v>399</v>
      </c>
      <c r="B95" s="1" t="s">
        <v>127</v>
      </c>
      <c r="C95" s="3">
        <v>919794273</v>
      </c>
      <c r="D95" s="5">
        <v>5290000</v>
      </c>
      <c r="E95" s="4">
        <v>4</v>
      </c>
      <c r="F95" s="4">
        <f>Table2[[#This Row],[Số lượng ]]*Table2[[#This Row],[Giá bán]]</f>
        <v>21160000</v>
      </c>
      <c r="G95" s="2">
        <v>45334</v>
      </c>
      <c r="H95" s="1" t="s">
        <v>13</v>
      </c>
      <c r="I95" s="1" t="s">
        <v>8</v>
      </c>
      <c r="J95" s="1" t="s">
        <v>27</v>
      </c>
      <c r="K95" s="1">
        <f>WEEKNUM(Table2[[#This Row],[Date]])</f>
        <v>7</v>
      </c>
      <c r="L95" s="1">
        <f>MONTH(Table2[[#This Row],[Date]])</f>
        <v>2</v>
      </c>
    </row>
    <row r="96" spans="1:12" ht="15" thickBot="1" x14ac:dyDescent="0.35">
      <c r="A96" s="1" t="s">
        <v>400</v>
      </c>
      <c r="B96" s="1" t="s">
        <v>128</v>
      </c>
      <c r="C96" s="3">
        <v>924208709</v>
      </c>
      <c r="D96" s="5">
        <v>9990000</v>
      </c>
      <c r="E96" s="4">
        <v>2</v>
      </c>
      <c r="F96" s="4">
        <f>Table2[[#This Row],[Số lượng ]]*Table2[[#This Row],[Giá bán]]</f>
        <v>19980000</v>
      </c>
      <c r="G96" s="2">
        <v>45640</v>
      </c>
      <c r="H96" s="1" t="s">
        <v>7</v>
      </c>
      <c r="I96" s="1" t="s">
        <v>5</v>
      </c>
      <c r="J96" s="1" t="s">
        <v>6</v>
      </c>
      <c r="K96" s="1">
        <f>WEEKNUM(Table2[[#This Row],[Date]])</f>
        <v>50</v>
      </c>
      <c r="L96" s="1">
        <f>MONTH(Table2[[#This Row],[Date]])</f>
        <v>12</v>
      </c>
    </row>
    <row r="97" spans="1:12" ht="29.4" thickBot="1" x14ac:dyDescent="0.35">
      <c r="A97" s="1" t="s">
        <v>401</v>
      </c>
      <c r="B97" s="1" t="s">
        <v>129</v>
      </c>
      <c r="C97" s="3">
        <v>924165187</v>
      </c>
      <c r="D97" s="5">
        <v>8900000</v>
      </c>
      <c r="E97" s="4">
        <v>2</v>
      </c>
      <c r="F97" s="4">
        <f>Table2[[#This Row],[Số lượng ]]*Table2[[#This Row],[Giá bán]]</f>
        <v>17800000</v>
      </c>
      <c r="G97" s="2">
        <v>45657</v>
      </c>
      <c r="H97" s="1" t="s">
        <v>13</v>
      </c>
      <c r="I97" s="1" t="s">
        <v>16</v>
      </c>
      <c r="J97" s="1" t="s">
        <v>19</v>
      </c>
      <c r="K97" s="1">
        <f>WEEKNUM(Table2[[#This Row],[Date]])</f>
        <v>53</v>
      </c>
      <c r="L97" s="1">
        <f>MONTH(Table2[[#This Row],[Date]])</f>
        <v>12</v>
      </c>
    </row>
    <row r="98" spans="1:12" ht="29.4" thickBot="1" x14ac:dyDescent="0.35">
      <c r="A98" s="1" t="s">
        <v>402</v>
      </c>
      <c r="B98" s="1" t="s">
        <v>130</v>
      </c>
      <c r="C98" s="3">
        <v>911097552</v>
      </c>
      <c r="D98" s="5">
        <v>18990000</v>
      </c>
      <c r="E98" s="4">
        <v>2</v>
      </c>
      <c r="F98" s="4">
        <f>Table2[[#This Row],[Số lượng ]]*Table2[[#This Row],[Giá bán]]</f>
        <v>37980000</v>
      </c>
      <c r="G98" s="2">
        <v>45640</v>
      </c>
      <c r="H98" s="1" t="s">
        <v>7</v>
      </c>
      <c r="I98" s="1" t="s">
        <v>5</v>
      </c>
      <c r="J98" s="1" t="s">
        <v>11</v>
      </c>
      <c r="K98" s="1">
        <f>WEEKNUM(Table2[[#This Row],[Date]])</f>
        <v>50</v>
      </c>
      <c r="L98" s="1">
        <f>MONTH(Table2[[#This Row],[Date]])</f>
        <v>12</v>
      </c>
    </row>
    <row r="99" spans="1:12" ht="43.8" thickBot="1" x14ac:dyDescent="0.35">
      <c r="A99" s="1" t="s">
        <v>403</v>
      </c>
      <c r="B99" s="1" t="s">
        <v>131</v>
      </c>
      <c r="C99" s="3">
        <v>959805178</v>
      </c>
      <c r="D99" s="5">
        <v>28990000</v>
      </c>
      <c r="E99" s="4">
        <v>1</v>
      </c>
      <c r="F99" s="4">
        <f>Table2[[#This Row],[Số lượng ]]*Table2[[#This Row],[Giá bán]]</f>
        <v>28990000</v>
      </c>
      <c r="G99" s="2">
        <v>45644</v>
      </c>
      <c r="H99" s="1" t="s">
        <v>4</v>
      </c>
      <c r="I99" s="1" t="s">
        <v>5</v>
      </c>
      <c r="J99" s="1" t="s">
        <v>15</v>
      </c>
      <c r="K99" s="1">
        <f>WEEKNUM(Table2[[#This Row],[Date]])</f>
        <v>51</v>
      </c>
      <c r="L99" s="1">
        <f>MONTH(Table2[[#This Row],[Date]])</f>
        <v>12</v>
      </c>
    </row>
    <row r="100" spans="1:12" ht="29.4" thickBot="1" x14ac:dyDescent="0.35">
      <c r="A100" s="1" t="s">
        <v>404</v>
      </c>
      <c r="B100" s="1" t="s">
        <v>132</v>
      </c>
      <c r="C100" s="3">
        <v>936998038</v>
      </c>
      <c r="D100" s="5">
        <v>5290000</v>
      </c>
      <c r="E100" s="4">
        <v>3</v>
      </c>
      <c r="F100" s="4">
        <f>Table2[[#This Row],[Số lượng ]]*Table2[[#This Row],[Giá bán]]</f>
        <v>15870000</v>
      </c>
      <c r="G100" s="2">
        <v>45636</v>
      </c>
      <c r="H100" s="1" t="s">
        <v>7</v>
      </c>
      <c r="I100" s="1" t="s">
        <v>8</v>
      </c>
      <c r="J100" s="1" t="s">
        <v>27</v>
      </c>
      <c r="K100" s="1">
        <f>WEEKNUM(Table2[[#This Row],[Date]])</f>
        <v>50</v>
      </c>
      <c r="L100" s="1">
        <f>MONTH(Table2[[#This Row],[Date]])</f>
        <v>12</v>
      </c>
    </row>
    <row r="101" spans="1:12" ht="29.4" thickBot="1" x14ac:dyDescent="0.35">
      <c r="A101" s="1" t="s">
        <v>405</v>
      </c>
      <c r="B101" s="1" t="s">
        <v>133</v>
      </c>
      <c r="C101" s="3">
        <v>982937948</v>
      </c>
      <c r="D101" s="5">
        <v>8990000</v>
      </c>
      <c r="E101" s="4">
        <v>1</v>
      </c>
      <c r="F101" s="4">
        <f>Table2[[#This Row],[Số lượng ]]*Table2[[#This Row],[Giá bán]]</f>
        <v>8990000</v>
      </c>
      <c r="G101" s="2">
        <v>45641</v>
      </c>
      <c r="H101" s="1" t="s">
        <v>7</v>
      </c>
      <c r="I101" s="1" t="s">
        <v>16</v>
      </c>
      <c r="J101" s="1" t="s">
        <v>32</v>
      </c>
      <c r="K101" s="1">
        <f>WEEKNUM(Table2[[#This Row],[Date]])</f>
        <v>51</v>
      </c>
      <c r="L101" s="1">
        <f>MONTH(Table2[[#This Row],[Date]])</f>
        <v>12</v>
      </c>
    </row>
    <row r="102" spans="1:12" ht="15" thickBot="1" x14ac:dyDescent="0.35">
      <c r="A102" s="1" t="s">
        <v>406</v>
      </c>
      <c r="B102" s="1" t="s">
        <v>134</v>
      </c>
      <c r="C102" s="3">
        <v>976845536</v>
      </c>
      <c r="D102" s="5">
        <v>3990000</v>
      </c>
      <c r="E102" s="4">
        <v>3</v>
      </c>
      <c r="F102" s="4">
        <f>Table2[[#This Row],[Số lượng ]]*Table2[[#This Row],[Giá bán]]</f>
        <v>11970000</v>
      </c>
      <c r="G102" s="2">
        <v>45644</v>
      </c>
      <c r="H102" s="1" t="s">
        <v>4</v>
      </c>
      <c r="I102" s="1" t="s">
        <v>8</v>
      </c>
      <c r="J102" s="1" t="s">
        <v>26</v>
      </c>
      <c r="K102" s="1">
        <f>WEEKNUM(Table2[[#This Row],[Date]])</f>
        <v>51</v>
      </c>
      <c r="L102" s="1">
        <f>MONTH(Table2[[#This Row],[Date]])</f>
        <v>12</v>
      </c>
    </row>
    <row r="103" spans="1:12" ht="29.4" thickBot="1" x14ac:dyDescent="0.35">
      <c r="A103" s="1" t="s">
        <v>407</v>
      </c>
      <c r="B103" s="1" t="s">
        <v>135</v>
      </c>
      <c r="C103" s="3">
        <v>955176955</v>
      </c>
      <c r="D103" s="5">
        <v>18990000</v>
      </c>
      <c r="E103" s="4">
        <v>1</v>
      </c>
      <c r="F103" s="4">
        <f>Table2[[#This Row],[Số lượng ]]*Table2[[#This Row],[Giá bán]]</f>
        <v>18990000</v>
      </c>
      <c r="G103" s="2">
        <v>45629</v>
      </c>
      <c r="H103" s="1" t="s">
        <v>4</v>
      </c>
      <c r="I103" s="1" t="s">
        <v>5</v>
      </c>
      <c r="J103" s="1" t="s">
        <v>11</v>
      </c>
      <c r="K103" s="1">
        <f>WEEKNUM(Table2[[#This Row],[Date]])</f>
        <v>49</v>
      </c>
      <c r="L103" s="1">
        <f>MONTH(Table2[[#This Row],[Date]])</f>
        <v>12</v>
      </c>
    </row>
    <row r="104" spans="1:12" ht="58.2" thickBot="1" x14ac:dyDescent="0.35">
      <c r="A104" s="1" t="s">
        <v>408</v>
      </c>
      <c r="B104" s="1" t="s">
        <v>136</v>
      </c>
      <c r="C104" s="3">
        <v>975575808</v>
      </c>
      <c r="D104" s="5">
        <v>450000</v>
      </c>
      <c r="E104" s="4">
        <v>4</v>
      </c>
      <c r="F104" s="4">
        <f>Table2[[#This Row],[Số lượng ]]*Table2[[#This Row],[Giá bán]]</f>
        <v>1800000</v>
      </c>
      <c r="G104" s="2">
        <v>45651</v>
      </c>
      <c r="H104" s="1" t="s">
        <v>7</v>
      </c>
      <c r="I104" s="1" t="s">
        <v>8</v>
      </c>
      <c r="J104" s="1" t="s">
        <v>21</v>
      </c>
      <c r="K104" s="1">
        <f>WEEKNUM(Table2[[#This Row],[Date]])</f>
        <v>52</v>
      </c>
      <c r="L104" s="1">
        <f>MONTH(Table2[[#This Row],[Date]])</f>
        <v>12</v>
      </c>
    </row>
    <row r="105" spans="1:12" ht="29.4" thickBot="1" x14ac:dyDescent="0.35">
      <c r="A105" s="1" t="s">
        <v>409</v>
      </c>
      <c r="B105" s="1" t="s">
        <v>137</v>
      </c>
      <c r="C105" s="3">
        <v>988461803</v>
      </c>
      <c r="D105" s="5">
        <v>8900000</v>
      </c>
      <c r="E105" s="4">
        <v>2</v>
      </c>
      <c r="F105" s="4">
        <f>Table2[[#This Row],[Số lượng ]]*Table2[[#This Row],[Giá bán]]</f>
        <v>17800000</v>
      </c>
      <c r="G105" s="2">
        <v>45655</v>
      </c>
      <c r="H105" s="1" t="s">
        <v>13</v>
      </c>
      <c r="I105" s="1" t="s">
        <v>16</v>
      </c>
      <c r="J105" s="1" t="s">
        <v>19</v>
      </c>
      <c r="K105" s="1">
        <f>WEEKNUM(Table2[[#This Row],[Date]])</f>
        <v>53</v>
      </c>
      <c r="L105" s="1">
        <f>MONTH(Table2[[#This Row],[Date]])</f>
        <v>12</v>
      </c>
    </row>
    <row r="106" spans="1:12" ht="29.4" thickBot="1" x14ac:dyDescent="0.35">
      <c r="A106" s="1" t="s">
        <v>410</v>
      </c>
      <c r="B106" s="1" t="s">
        <v>138</v>
      </c>
      <c r="C106" s="3">
        <v>931306555</v>
      </c>
      <c r="D106" s="5">
        <v>9990000</v>
      </c>
      <c r="E106" s="4">
        <v>2</v>
      </c>
      <c r="F106" s="4">
        <f>Table2[[#This Row],[Số lượng ]]*Table2[[#This Row],[Giá bán]]</f>
        <v>19980000</v>
      </c>
      <c r="G106" s="2">
        <v>45638</v>
      </c>
      <c r="H106" s="1" t="s">
        <v>4</v>
      </c>
      <c r="I106" s="1" t="s">
        <v>16</v>
      </c>
      <c r="J106" s="1" t="s">
        <v>23</v>
      </c>
      <c r="K106" s="1">
        <f>WEEKNUM(Table2[[#This Row],[Date]])</f>
        <v>50</v>
      </c>
      <c r="L106" s="1">
        <f>MONTH(Table2[[#This Row],[Date]])</f>
        <v>12</v>
      </c>
    </row>
    <row r="107" spans="1:12" ht="58.2" thickBot="1" x14ac:dyDescent="0.35">
      <c r="A107" s="1" t="s">
        <v>411</v>
      </c>
      <c r="B107" s="1" t="s">
        <v>139</v>
      </c>
      <c r="C107" s="3">
        <v>931803703</v>
      </c>
      <c r="D107" s="5">
        <v>280000</v>
      </c>
      <c r="E107" s="4">
        <v>4</v>
      </c>
      <c r="F107" s="4">
        <f>Table2[[#This Row],[Số lượng ]]*Table2[[#This Row],[Giá bán]]</f>
        <v>1120000</v>
      </c>
      <c r="G107" s="2">
        <v>45516</v>
      </c>
      <c r="H107" s="1" t="s">
        <v>7</v>
      </c>
      <c r="I107" s="1" t="s">
        <v>8</v>
      </c>
      <c r="J107" s="1" t="s">
        <v>30</v>
      </c>
      <c r="K107" s="1">
        <f>WEEKNUM(Table2[[#This Row],[Date]])</f>
        <v>33</v>
      </c>
      <c r="L107" s="1">
        <f>MONTH(Table2[[#This Row],[Date]])</f>
        <v>8</v>
      </c>
    </row>
    <row r="108" spans="1:12" ht="29.4" thickBot="1" x14ac:dyDescent="0.35">
      <c r="A108" s="1" t="s">
        <v>412</v>
      </c>
      <c r="B108" s="1" t="s">
        <v>140</v>
      </c>
      <c r="C108" s="3">
        <v>920814950</v>
      </c>
      <c r="D108" s="5">
        <v>25990000</v>
      </c>
      <c r="E108" s="4">
        <v>2</v>
      </c>
      <c r="F108" s="4">
        <f>Table2[[#This Row],[Số lượng ]]*Table2[[#This Row],[Giá bán]]</f>
        <v>51980000</v>
      </c>
      <c r="G108" s="2">
        <v>45424</v>
      </c>
      <c r="H108" s="1" t="s">
        <v>13</v>
      </c>
      <c r="I108" s="1" t="s">
        <v>5</v>
      </c>
      <c r="J108" s="1" t="s">
        <v>24</v>
      </c>
      <c r="K108" s="1">
        <f>WEEKNUM(Table2[[#This Row],[Date]])</f>
        <v>20</v>
      </c>
      <c r="L108" s="1">
        <f>MONTH(Table2[[#This Row],[Date]])</f>
        <v>5</v>
      </c>
    </row>
    <row r="109" spans="1:12" ht="43.8" thickBot="1" x14ac:dyDescent="0.35">
      <c r="A109" s="1" t="s">
        <v>413</v>
      </c>
      <c r="B109" s="1" t="s">
        <v>141</v>
      </c>
      <c r="C109" s="3">
        <v>940884937</v>
      </c>
      <c r="D109" s="5">
        <v>890000</v>
      </c>
      <c r="E109" s="4">
        <v>3</v>
      </c>
      <c r="F109" s="4">
        <f>Table2[[#This Row],[Số lượng ]]*Table2[[#This Row],[Giá bán]]</f>
        <v>2670000</v>
      </c>
      <c r="G109" s="2">
        <v>45644</v>
      </c>
      <c r="H109" s="1" t="s">
        <v>4</v>
      </c>
      <c r="I109" s="1" t="s">
        <v>8</v>
      </c>
      <c r="J109" s="1" t="s">
        <v>33</v>
      </c>
      <c r="K109" s="1">
        <f>WEEKNUM(Table2[[#This Row],[Date]])</f>
        <v>51</v>
      </c>
      <c r="L109" s="1">
        <f>MONTH(Table2[[#This Row],[Date]])</f>
        <v>12</v>
      </c>
    </row>
    <row r="110" spans="1:12" ht="29.4" thickBot="1" x14ac:dyDescent="0.35">
      <c r="A110" s="1" t="s">
        <v>414</v>
      </c>
      <c r="B110" s="1" t="s">
        <v>142</v>
      </c>
      <c r="C110" s="3">
        <v>928463709</v>
      </c>
      <c r="D110" s="5">
        <v>25990000</v>
      </c>
      <c r="E110" s="4">
        <v>1</v>
      </c>
      <c r="F110" s="4">
        <f>Table2[[#This Row],[Số lượng ]]*Table2[[#This Row],[Giá bán]]</f>
        <v>25990000</v>
      </c>
      <c r="G110" s="2">
        <v>45629</v>
      </c>
      <c r="H110" s="1" t="s">
        <v>4</v>
      </c>
      <c r="I110" s="1" t="s">
        <v>5</v>
      </c>
      <c r="J110" s="1" t="s">
        <v>24</v>
      </c>
      <c r="K110" s="1">
        <f>WEEKNUM(Table2[[#This Row],[Date]])</f>
        <v>49</v>
      </c>
      <c r="L110" s="1">
        <f>MONTH(Table2[[#This Row],[Date]])</f>
        <v>12</v>
      </c>
    </row>
    <row r="111" spans="1:12" ht="29.4" thickBot="1" x14ac:dyDescent="0.35">
      <c r="A111" s="1" t="s">
        <v>415</v>
      </c>
      <c r="B111" s="1" t="s">
        <v>143</v>
      </c>
      <c r="C111" s="3">
        <v>975581613</v>
      </c>
      <c r="D111" s="5">
        <v>250000</v>
      </c>
      <c r="E111" s="4">
        <v>4</v>
      </c>
      <c r="F111" s="4">
        <f>Table2[[#This Row],[Số lượng ]]*Table2[[#This Row],[Giá bán]]</f>
        <v>1000000</v>
      </c>
      <c r="G111" s="2">
        <v>45647</v>
      </c>
      <c r="H111" s="1" t="s">
        <v>7</v>
      </c>
      <c r="I111" s="1" t="s">
        <v>8</v>
      </c>
      <c r="J111" s="1" t="s">
        <v>31</v>
      </c>
      <c r="K111" s="1">
        <f>WEEKNUM(Table2[[#This Row],[Date]])</f>
        <v>51</v>
      </c>
      <c r="L111" s="1">
        <f>MONTH(Table2[[#This Row],[Date]])</f>
        <v>12</v>
      </c>
    </row>
    <row r="112" spans="1:12" ht="29.4" thickBot="1" x14ac:dyDescent="0.35">
      <c r="A112" s="1" t="s">
        <v>416</v>
      </c>
      <c r="B112" s="1" t="s">
        <v>144</v>
      </c>
      <c r="C112" s="3">
        <v>971066203</v>
      </c>
      <c r="D112" s="5">
        <v>250000</v>
      </c>
      <c r="E112" s="4">
        <v>4</v>
      </c>
      <c r="F112" s="4">
        <f>Table2[[#This Row],[Số lượng ]]*Table2[[#This Row],[Giá bán]]</f>
        <v>1000000</v>
      </c>
      <c r="G112" s="2">
        <v>45646</v>
      </c>
      <c r="H112" s="1" t="s">
        <v>7</v>
      </c>
      <c r="I112" s="1" t="s">
        <v>8</v>
      </c>
      <c r="J112" s="1" t="s">
        <v>31</v>
      </c>
      <c r="K112" s="1">
        <f>WEEKNUM(Table2[[#This Row],[Date]])</f>
        <v>51</v>
      </c>
      <c r="L112" s="1">
        <f>MONTH(Table2[[#This Row],[Date]])</f>
        <v>12</v>
      </c>
    </row>
    <row r="113" spans="1:12" ht="29.4" thickBot="1" x14ac:dyDescent="0.35">
      <c r="A113" s="1" t="s">
        <v>417</v>
      </c>
      <c r="B113" s="1" t="s">
        <v>145</v>
      </c>
      <c r="C113" s="3">
        <v>986460539</v>
      </c>
      <c r="D113" s="5">
        <v>9990000</v>
      </c>
      <c r="E113" s="4">
        <v>1</v>
      </c>
      <c r="F113" s="4">
        <f>Table2[[#This Row],[Số lượng ]]*Table2[[#This Row],[Giá bán]]</f>
        <v>9990000</v>
      </c>
      <c r="G113" s="2">
        <v>45645</v>
      </c>
      <c r="H113" s="1" t="s">
        <v>4</v>
      </c>
      <c r="I113" s="1" t="s">
        <v>5</v>
      </c>
      <c r="J113" s="1" t="s">
        <v>6</v>
      </c>
      <c r="K113" s="1">
        <f>WEEKNUM(Table2[[#This Row],[Date]])</f>
        <v>51</v>
      </c>
      <c r="L113" s="1">
        <f>MONTH(Table2[[#This Row],[Date]])</f>
        <v>12</v>
      </c>
    </row>
    <row r="114" spans="1:12" ht="43.8" thickBot="1" x14ac:dyDescent="0.35">
      <c r="A114" s="1" t="s">
        <v>418</v>
      </c>
      <c r="B114" s="1" t="s">
        <v>146</v>
      </c>
      <c r="C114" s="3">
        <v>989968863</v>
      </c>
      <c r="D114" s="5">
        <v>28990000</v>
      </c>
      <c r="E114" s="4">
        <v>2</v>
      </c>
      <c r="F114" s="4">
        <f>Table2[[#This Row],[Số lượng ]]*Table2[[#This Row],[Giá bán]]</f>
        <v>57980000</v>
      </c>
      <c r="G114" s="2">
        <v>45643</v>
      </c>
      <c r="H114" s="1" t="s">
        <v>13</v>
      </c>
      <c r="I114" s="1" t="s">
        <v>5</v>
      </c>
      <c r="J114" s="1" t="s">
        <v>15</v>
      </c>
      <c r="K114" s="1">
        <f>WEEKNUM(Table2[[#This Row],[Date]])</f>
        <v>51</v>
      </c>
      <c r="L114" s="1">
        <f>MONTH(Table2[[#This Row],[Date]])</f>
        <v>12</v>
      </c>
    </row>
    <row r="115" spans="1:12" ht="29.4" thickBot="1" x14ac:dyDescent="0.35">
      <c r="A115" s="1" t="s">
        <v>419</v>
      </c>
      <c r="B115" s="1" t="s">
        <v>147</v>
      </c>
      <c r="C115" s="3">
        <v>997477029</v>
      </c>
      <c r="D115" s="5">
        <v>22990000</v>
      </c>
      <c r="E115" s="4">
        <v>1</v>
      </c>
      <c r="F115" s="4">
        <f>Table2[[#This Row],[Số lượng ]]*Table2[[#This Row],[Giá bán]]</f>
        <v>22990000</v>
      </c>
      <c r="G115" s="2">
        <v>45651</v>
      </c>
      <c r="H115" s="1" t="s">
        <v>4</v>
      </c>
      <c r="I115" s="1" t="s">
        <v>5</v>
      </c>
      <c r="J115" s="1" t="s">
        <v>34</v>
      </c>
      <c r="K115" s="1">
        <f>WEEKNUM(Table2[[#This Row],[Date]])</f>
        <v>52</v>
      </c>
      <c r="L115" s="1">
        <f>MONTH(Table2[[#This Row],[Date]])</f>
        <v>12</v>
      </c>
    </row>
    <row r="116" spans="1:12" ht="29.4" thickBot="1" x14ac:dyDescent="0.35">
      <c r="A116" s="1" t="s">
        <v>420</v>
      </c>
      <c r="B116" s="1" t="s">
        <v>148</v>
      </c>
      <c r="C116" s="3">
        <v>918469210</v>
      </c>
      <c r="D116" s="5">
        <v>5290000</v>
      </c>
      <c r="E116" s="4">
        <v>1</v>
      </c>
      <c r="F116" s="4">
        <f>Table2[[#This Row],[Số lượng ]]*Table2[[#This Row],[Giá bán]]</f>
        <v>5290000</v>
      </c>
      <c r="G116" s="2">
        <v>45651</v>
      </c>
      <c r="H116" s="1" t="s">
        <v>13</v>
      </c>
      <c r="I116" s="1" t="s">
        <v>8</v>
      </c>
      <c r="J116" s="1" t="s">
        <v>27</v>
      </c>
      <c r="K116" s="1">
        <f>WEEKNUM(Table2[[#This Row],[Date]])</f>
        <v>52</v>
      </c>
      <c r="L116" s="1">
        <f>MONTH(Table2[[#This Row],[Date]])</f>
        <v>12</v>
      </c>
    </row>
    <row r="117" spans="1:12" ht="43.8" thickBot="1" x14ac:dyDescent="0.35">
      <c r="A117" s="1" t="s">
        <v>421</v>
      </c>
      <c r="B117" s="1" t="s">
        <v>149</v>
      </c>
      <c r="C117" s="3">
        <v>973560289</v>
      </c>
      <c r="D117" s="5">
        <v>2990000</v>
      </c>
      <c r="E117" s="4">
        <v>2</v>
      </c>
      <c r="F117" s="4">
        <f>Table2[[#This Row],[Số lượng ]]*Table2[[#This Row],[Giá bán]]</f>
        <v>5980000</v>
      </c>
      <c r="G117" s="2">
        <v>45394</v>
      </c>
      <c r="H117" s="1" t="s">
        <v>7</v>
      </c>
      <c r="I117" s="1" t="s">
        <v>8</v>
      </c>
      <c r="J117" s="1" t="s">
        <v>22</v>
      </c>
      <c r="K117" s="1">
        <f>WEEKNUM(Table2[[#This Row],[Date]])</f>
        <v>15</v>
      </c>
      <c r="L117" s="1">
        <f>MONTH(Table2[[#This Row],[Date]])</f>
        <v>4</v>
      </c>
    </row>
    <row r="118" spans="1:12" ht="29.4" thickBot="1" x14ac:dyDescent="0.35">
      <c r="A118" s="1" t="s">
        <v>422</v>
      </c>
      <c r="B118" s="1" t="s">
        <v>150</v>
      </c>
      <c r="C118" s="3">
        <v>986134287</v>
      </c>
      <c r="D118" s="5">
        <v>22990000</v>
      </c>
      <c r="E118" s="4">
        <v>2</v>
      </c>
      <c r="F118" s="4">
        <f>Table2[[#This Row],[Số lượng ]]*Table2[[#This Row],[Giá bán]]</f>
        <v>45980000</v>
      </c>
      <c r="G118" s="2">
        <v>45646</v>
      </c>
      <c r="H118" s="1" t="s">
        <v>13</v>
      </c>
      <c r="I118" s="1" t="s">
        <v>5</v>
      </c>
      <c r="J118" s="1" t="s">
        <v>34</v>
      </c>
      <c r="K118" s="1">
        <f>WEEKNUM(Table2[[#This Row],[Date]])</f>
        <v>51</v>
      </c>
      <c r="L118" s="1">
        <f>MONTH(Table2[[#This Row],[Date]])</f>
        <v>12</v>
      </c>
    </row>
    <row r="119" spans="1:12" ht="29.4" thickBot="1" x14ac:dyDescent="0.35">
      <c r="A119" s="1" t="s">
        <v>423</v>
      </c>
      <c r="B119" s="1" t="s">
        <v>151</v>
      </c>
      <c r="C119" s="3">
        <v>929538047</v>
      </c>
      <c r="D119" s="5">
        <v>9990000</v>
      </c>
      <c r="E119" s="4">
        <v>1</v>
      </c>
      <c r="F119" s="4">
        <f>Table2[[#This Row],[Số lượng ]]*Table2[[#This Row],[Giá bán]]</f>
        <v>9990000</v>
      </c>
      <c r="G119" s="2">
        <v>45643</v>
      </c>
      <c r="H119" s="1" t="s">
        <v>4</v>
      </c>
      <c r="I119" s="1" t="s">
        <v>5</v>
      </c>
      <c r="J119" s="1" t="s">
        <v>6</v>
      </c>
      <c r="K119" s="1">
        <f>WEEKNUM(Table2[[#This Row],[Date]])</f>
        <v>51</v>
      </c>
      <c r="L119" s="1">
        <f>MONTH(Table2[[#This Row],[Date]])</f>
        <v>12</v>
      </c>
    </row>
    <row r="120" spans="1:12" ht="43.8" thickBot="1" x14ac:dyDescent="0.35">
      <c r="A120" s="1" t="s">
        <v>424</v>
      </c>
      <c r="B120" s="1" t="s">
        <v>152</v>
      </c>
      <c r="C120" s="3">
        <v>975609379</v>
      </c>
      <c r="D120" s="5">
        <v>28990000</v>
      </c>
      <c r="E120" s="4">
        <v>2</v>
      </c>
      <c r="F120" s="4">
        <f>Table2[[#This Row],[Số lượng ]]*Table2[[#This Row],[Giá bán]]</f>
        <v>57980000</v>
      </c>
      <c r="G120" s="2">
        <v>45655</v>
      </c>
      <c r="H120" s="1" t="s">
        <v>4</v>
      </c>
      <c r="I120" s="1" t="s">
        <v>5</v>
      </c>
      <c r="J120" s="1" t="s">
        <v>15</v>
      </c>
      <c r="K120" s="1">
        <f>WEEKNUM(Table2[[#This Row],[Date]])</f>
        <v>53</v>
      </c>
      <c r="L120" s="1">
        <f>MONTH(Table2[[#This Row],[Date]])</f>
        <v>12</v>
      </c>
    </row>
    <row r="121" spans="1:12" ht="29.4" thickBot="1" x14ac:dyDescent="0.35">
      <c r="A121" s="1" t="s">
        <v>425</v>
      </c>
      <c r="B121" s="1" t="s">
        <v>153</v>
      </c>
      <c r="C121" s="3">
        <v>938375916</v>
      </c>
      <c r="D121" s="5">
        <v>5290000</v>
      </c>
      <c r="E121" s="4">
        <v>4</v>
      </c>
      <c r="F121" s="4">
        <f>Table2[[#This Row],[Số lượng ]]*Table2[[#This Row],[Giá bán]]</f>
        <v>21160000</v>
      </c>
      <c r="G121" s="2">
        <v>45655</v>
      </c>
      <c r="H121" s="1" t="s">
        <v>13</v>
      </c>
      <c r="I121" s="1" t="s">
        <v>8</v>
      </c>
      <c r="J121" s="1" t="s">
        <v>27</v>
      </c>
      <c r="K121" s="1">
        <f>WEEKNUM(Table2[[#This Row],[Date]])</f>
        <v>53</v>
      </c>
      <c r="L121" s="1">
        <f>MONTH(Table2[[#This Row],[Date]])</f>
        <v>12</v>
      </c>
    </row>
    <row r="122" spans="1:12" ht="29.4" thickBot="1" x14ac:dyDescent="0.35">
      <c r="A122" s="1" t="s">
        <v>426</v>
      </c>
      <c r="B122" s="1" t="s">
        <v>154</v>
      </c>
      <c r="C122" s="3">
        <v>973297813</v>
      </c>
      <c r="D122" s="5">
        <v>250000</v>
      </c>
      <c r="E122" s="4">
        <v>2</v>
      </c>
      <c r="F122" s="4">
        <f>Table2[[#This Row],[Số lượng ]]*Table2[[#This Row],[Giá bán]]</f>
        <v>500000</v>
      </c>
      <c r="G122" s="2">
        <v>45650</v>
      </c>
      <c r="H122" s="1" t="s">
        <v>7</v>
      </c>
      <c r="I122" s="1" t="s">
        <v>8</v>
      </c>
      <c r="J122" s="1" t="s">
        <v>31</v>
      </c>
      <c r="K122" s="1">
        <f>WEEKNUM(Table2[[#This Row],[Date]])</f>
        <v>52</v>
      </c>
      <c r="L122" s="1">
        <f>MONTH(Table2[[#This Row],[Date]])</f>
        <v>12</v>
      </c>
    </row>
    <row r="123" spans="1:12" ht="58.2" thickBot="1" x14ac:dyDescent="0.35">
      <c r="A123" s="1" t="s">
        <v>427</v>
      </c>
      <c r="B123" s="1" t="s">
        <v>155</v>
      </c>
      <c r="C123" s="3">
        <v>918715975</v>
      </c>
      <c r="D123" s="5">
        <v>450000</v>
      </c>
      <c r="E123" s="4">
        <v>3</v>
      </c>
      <c r="F123" s="4">
        <f>Table2[[#This Row],[Số lượng ]]*Table2[[#This Row],[Giá bán]]</f>
        <v>1350000</v>
      </c>
      <c r="G123" s="2">
        <v>45644</v>
      </c>
      <c r="H123" s="1" t="s">
        <v>4</v>
      </c>
      <c r="I123" s="1" t="s">
        <v>8</v>
      </c>
      <c r="J123" s="1" t="s">
        <v>21</v>
      </c>
      <c r="K123" s="1">
        <f>WEEKNUM(Table2[[#This Row],[Date]])</f>
        <v>51</v>
      </c>
      <c r="L123" s="1">
        <f>MONTH(Table2[[#This Row],[Date]])</f>
        <v>12</v>
      </c>
    </row>
    <row r="124" spans="1:12" ht="29.4" thickBot="1" x14ac:dyDescent="0.35">
      <c r="A124" s="1" t="s">
        <v>428</v>
      </c>
      <c r="B124" s="1" t="s">
        <v>156</v>
      </c>
      <c r="C124" s="3">
        <v>978829070</v>
      </c>
      <c r="D124" s="5">
        <v>150000</v>
      </c>
      <c r="E124" s="4">
        <v>4</v>
      </c>
      <c r="F124" s="4">
        <f>Table2[[#This Row],[Số lượng ]]*Table2[[#This Row],[Giá bán]]</f>
        <v>600000</v>
      </c>
      <c r="G124" s="2">
        <v>45641</v>
      </c>
      <c r="H124" s="1" t="s">
        <v>7</v>
      </c>
      <c r="I124" s="1" t="s">
        <v>8</v>
      </c>
      <c r="J124" s="1" t="s">
        <v>25</v>
      </c>
      <c r="K124" s="1">
        <f>WEEKNUM(Table2[[#This Row],[Date]])</f>
        <v>51</v>
      </c>
      <c r="L124" s="1">
        <f>MONTH(Table2[[#This Row],[Date]])</f>
        <v>12</v>
      </c>
    </row>
    <row r="125" spans="1:12" ht="29.4" thickBot="1" x14ac:dyDescent="0.35">
      <c r="A125" s="1" t="s">
        <v>429</v>
      </c>
      <c r="B125" s="1" t="s">
        <v>157</v>
      </c>
      <c r="C125" s="3">
        <v>972005415</v>
      </c>
      <c r="D125" s="5">
        <v>8900000</v>
      </c>
      <c r="E125" s="4">
        <v>2</v>
      </c>
      <c r="F125" s="4">
        <f>Table2[[#This Row],[Số lượng ]]*Table2[[#This Row],[Giá bán]]</f>
        <v>17800000</v>
      </c>
      <c r="G125" s="2">
        <v>45334</v>
      </c>
      <c r="H125" s="1" t="s">
        <v>4</v>
      </c>
      <c r="I125" s="1" t="s">
        <v>16</v>
      </c>
      <c r="J125" s="1" t="s">
        <v>19</v>
      </c>
      <c r="K125" s="1">
        <f>WEEKNUM(Table2[[#This Row],[Date]])</f>
        <v>7</v>
      </c>
      <c r="L125" s="1">
        <f>MONTH(Table2[[#This Row],[Date]])</f>
        <v>2</v>
      </c>
    </row>
    <row r="126" spans="1:12" ht="29.4" thickBot="1" x14ac:dyDescent="0.35">
      <c r="A126" s="1" t="s">
        <v>430</v>
      </c>
      <c r="B126" s="1" t="s">
        <v>158</v>
      </c>
      <c r="C126" s="3">
        <v>924972279</v>
      </c>
      <c r="D126" s="5">
        <v>12500000</v>
      </c>
      <c r="E126" s="4">
        <v>2</v>
      </c>
      <c r="F126" s="4">
        <f>Table2[[#This Row],[Số lượng ]]*Table2[[#This Row],[Giá bán]]</f>
        <v>25000000</v>
      </c>
      <c r="G126" s="2">
        <v>45640</v>
      </c>
      <c r="H126" s="1" t="s">
        <v>4</v>
      </c>
      <c r="I126" s="1" t="s">
        <v>16</v>
      </c>
      <c r="J126" s="1" t="s">
        <v>18</v>
      </c>
      <c r="K126" s="1">
        <f>WEEKNUM(Table2[[#This Row],[Date]])</f>
        <v>50</v>
      </c>
      <c r="L126" s="1">
        <f>MONTH(Table2[[#This Row],[Date]])</f>
        <v>12</v>
      </c>
    </row>
    <row r="127" spans="1:12" ht="43.8" thickBot="1" x14ac:dyDescent="0.35">
      <c r="A127" s="1" t="s">
        <v>431</v>
      </c>
      <c r="B127" s="1" t="s">
        <v>159</v>
      </c>
      <c r="C127" s="3">
        <v>933002714</v>
      </c>
      <c r="D127" s="5">
        <v>28990000</v>
      </c>
      <c r="E127" s="4">
        <v>2</v>
      </c>
      <c r="F127" s="4">
        <f>Table2[[#This Row],[Số lượng ]]*Table2[[#This Row],[Giá bán]]</f>
        <v>57980000</v>
      </c>
      <c r="G127" s="2">
        <v>45642</v>
      </c>
      <c r="H127" s="1" t="s">
        <v>13</v>
      </c>
      <c r="I127" s="1" t="s">
        <v>5</v>
      </c>
      <c r="J127" s="1" t="s">
        <v>15</v>
      </c>
      <c r="K127" s="1">
        <f>WEEKNUM(Table2[[#This Row],[Date]])</f>
        <v>51</v>
      </c>
      <c r="L127" s="1">
        <f>MONTH(Table2[[#This Row],[Date]])</f>
        <v>12</v>
      </c>
    </row>
    <row r="128" spans="1:12" ht="15" thickBot="1" x14ac:dyDescent="0.35">
      <c r="A128" s="1" t="s">
        <v>432</v>
      </c>
      <c r="B128" s="1" t="s">
        <v>160</v>
      </c>
      <c r="C128" s="3">
        <v>960192261</v>
      </c>
      <c r="D128" s="5">
        <v>9990000</v>
      </c>
      <c r="E128" s="4">
        <v>2</v>
      </c>
      <c r="F128" s="4">
        <f>Table2[[#This Row],[Số lượng ]]*Table2[[#This Row],[Giá bán]]</f>
        <v>19980000</v>
      </c>
      <c r="G128" s="2">
        <v>45639</v>
      </c>
      <c r="H128" s="1" t="s">
        <v>13</v>
      </c>
      <c r="I128" s="1" t="s">
        <v>5</v>
      </c>
      <c r="J128" s="1" t="s">
        <v>6</v>
      </c>
      <c r="K128" s="1">
        <f>WEEKNUM(Table2[[#This Row],[Date]])</f>
        <v>50</v>
      </c>
      <c r="L128" s="1">
        <f>MONTH(Table2[[#This Row],[Date]])</f>
        <v>12</v>
      </c>
    </row>
    <row r="129" spans="1:12" ht="43.8" thickBot="1" x14ac:dyDescent="0.35">
      <c r="A129" s="1" t="s">
        <v>433</v>
      </c>
      <c r="B129" s="1" t="s">
        <v>161</v>
      </c>
      <c r="C129" s="3">
        <v>916679008</v>
      </c>
      <c r="D129" s="5">
        <v>2990000</v>
      </c>
      <c r="E129" s="4">
        <v>4</v>
      </c>
      <c r="F129" s="4">
        <f>Table2[[#This Row],[Số lượng ]]*Table2[[#This Row],[Giá bán]]</f>
        <v>11960000</v>
      </c>
      <c r="G129" s="2">
        <v>45629</v>
      </c>
      <c r="H129" s="1" t="s">
        <v>4</v>
      </c>
      <c r="I129" s="1" t="s">
        <v>8</v>
      </c>
      <c r="J129" s="1" t="s">
        <v>22</v>
      </c>
      <c r="K129" s="1">
        <f>WEEKNUM(Table2[[#This Row],[Date]])</f>
        <v>49</v>
      </c>
      <c r="L129" s="1">
        <f>MONTH(Table2[[#This Row],[Date]])</f>
        <v>12</v>
      </c>
    </row>
    <row r="130" spans="1:12" ht="29.4" thickBot="1" x14ac:dyDescent="0.35">
      <c r="A130" s="1" t="s">
        <v>434</v>
      </c>
      <c r="B130" s="1" t="s">
        <v>162</v>
      </c>
      <c r="C130" s="3">
        <v>990115852</v>
      </c>
      <c r="D130" s="5">
        <v>150000</v>
      </c>
      <c r="E130" s="4">
        <v>5</v>
      </c>
      <c r="F130" s="4">
        <f>Table2[[#This Row],[Số lượng ]]*Table2[[#This Row],[Giá bán]]</f>
        <v>750000</v>
      </c>
      <c r="G130" s="2">
        <v>45547</v>
      </c>
      <c r="H130" s="1" t="s">
        <v>13</v>
      </c>
      <c r="I130" s="1" t="s">
        <v>8</v>
      </c>
      <c r="J130" s="1" t="s">
        <v>25</v>
      </c>
      <c r="K130" s="1">
        <f>WEEKNUM(Table2[[#This Row],[Date]])</f>
        <v>37</v>
      </c>
      <c r="L130" s="1">
        <f>MONTH(Table2[[#This Row],[Date]])</f>
        <v>9</v>
      </c>
    </row>
    <row r="131" spans="1:12" ht="29.4" thickBot="1" x14ac:dyDescent="0.35">
      <c r="A131" s="1" t="s">
        <v>435</v>
      </c>
      <c r="B131" s="1" t="s">
        <v>163</v>
      </c>
      <c r="C131" s="3">
        <v>939742165</v>
      </c>
      <c r="D131" s="5">
        <v>8990000</v>
      </c>
      <c r="E131" s="4">
        <v>2</v>
      </c>
      <c r="F131" s="4">
        <f>Table2[[#This Row],[Số lượng ]]*Table2[[#This Row],[Giá bán]]</f>
        <v>17980000</v>
      </c>
      <c r="G131" s="2">
        <v>45649</v>
      </c>
      <c r="H131" s="1" t="s">
        <v>7</v>
      </c>
      <c r="I131" s="1" t="s">
        <v>16</v>
      </c>
      <c r="J131" s="1" t="s">
        <v>32</v>
      </c>
      <c r="K131" s="1">
        <f>WEEKNUM(Table2[[#This Row],[Date]])</f>
        <v>52</v>
      </c>
      <c r="L131" s="1">
        <f>MONTH(Table2[[#This Row],[Date]])</f>
        <v>12</v>
      </c>
    </row>
    <row r="132" spans="1:12" ht="43.8" thickBot="1" x14ac:dyDescent="0.35">
      <c r="A132" s="1" t="s">
        <v>436</v>
      </c>
      <c r="B132" s="1" t="s">
        <v>164</v>
      </c>
      <c r="C132" s="3">
        <v>994819556</v>
      </c>
      <c r="D132" s="5">
        <v>890000</v>
      </c>
      <c r="E132" s="4">
        <v>2</v>
      </c>
      <c r="F132" s="4">
        <f>Table2[[#This Row],[Số lượng ]]*Table2[[#This Row],[Giá bán]]</f>
        <v>1780000</v>
      </c>
      <c r="G132" s="2">
        <v>45645</v>
      </c>
      <c r="H132" s="1" t="s">
        <v>4</v>
      </c>
      <c r="I132" s="1" t="s">
        <v>8</v>
      </c>
      <c r="J132" s="1" t="s">
        <v>33</v>
      </c>
      <c r="K132" s="1">
        <f>WEEKNUM(Table2[[#This Row],[Date]])</f>
        <v>51</v>
      </c>
      <c r="L132" s="1">
        <f>MONTH(Table2[[#This Row],[Date]])</f>
        <v>12</v>
      </c>
    </row>
    <row r="133" spans="1:12" ht="15" thickBot="1" x14ac:dyDescent="0.35">
      <c r="A133" s="1" t="s">
        <v>437</v>
      </c>
      <c r="B133" s="1" t="s">
        <v>165</v>
      </c>
      <c r="C133" s="3">
        <v>935805259</v>
      </c>
      <c r="D133" s="5">
        <v>9990000</v>
      </c>
      <c r="E133" s="4">
        <v>2</v>
      </c>
      <c r="F133" s="4">
        <f>Table2[[#This Row],[Số lượng ]]*Table2[[#This Row],[Giá bán]]</f>
        <v>19980000</v>
      </c>
      <c r="G133" s="2">
        <v>45547</v>
      </c>
      <c r="H133" s="1" t="s">
        <v>7</v>
      </c>
      <c r="I133" s="1" t="s">
        <v>5</v>
      </c>
      <c r="J133" s="1" t="s">
        <v>6</v>
      </c>
      <c r="K133" s="1">
        <f>WEEKNUM(Table2[[#This Row],[Date]])</f>
        <v>37</v>
      </c>
      <c r="L133" s="1">
        <f>MONTH(Table2[[#This Row],[Date]])</f>
        <v>9</v>
      </c>
    </row>
    <row r="134" spans="1:12" ht="58.2" thickBot="1" x14ac:dyDescent="0.35">
      <c r="A134" s="1" t="s">
        <v>438</v>
      </c>
      <c r="B134" s="1" t="s">
        <v>166</v>
      </c>
      <c r="C134" s="3">
        <v>961700055</v>
      </c>
      <c r="D134" s="5">
        <v>280000</v>
      </c>
      <c r="E134" s="4">
        <v>1</v>
      </c>
      <c r="F134" s="4">
        <f>Table2[[#This Row],[Số lượng ]]*Table2[[#This Row],[Giá bán]]</f>
        <v>280000</v>
      </c>
      <c r="G134" s="2">
        <v>45633</v>
      </c>
      <c r="H134" s="1" t="s">
        <v>4</v>
      </c>
      <c r="I134" s="1" t="s">
        <v>8</v>
      </c>
      <c r="J134" s="1" t="s">
        <v>30</v>
      </c>
      <c r="K134" s="1">
        <f>WEEKNUM(Table2[[#This Row],[Date]])</f>
        <v>49</v>
      </c>
      <c r="L134" s="1">
        <f>MONTH(Table2[[#This Row],[Date]])</f>
        <v>12</v>
      </c>
    </row>
    <row r="135" spans="1:12" ht="29.4" thickBot="1" x14ac:dyDescent="0.35">
      <c r="A135" s="1" t="s">
        <v>439</v>
      </c>
      <c r="B135" s="1" t="s">
        <v>167</v>
      </c>
      <c r="C135" s="3">
        <v>925253751</v>
      </c>
      <c r="D135" s="5">
        <v>250000</v>
      </c>
      <c r="E135" s="4">
        <v>4</v>
      </c>
      <c r="F135" s="4">
        <f>Table2[[#This Row],[Số lượng ]]*Table2[[#This Row],[Giá bán]]</f>
        <v>1000000</v>
      </c>
      <c r="G135" s="2">
        <v>45629</v>
      </c>
      <c r="H135" s="1" t="s">
        <v>13</v>
      </c>
      <c r="I135" s="1" t="s">
        <v>8</v>
      </c>
      <c r="J135" s="1" t="s">
        <v>31</v>
      </c>
      <c r="K135" s="1">
        <f>WEEKNUM(Table2[[#This Row],[Date]])</f>
        <v>49</v>
      </c>
      <c r="L135" s="1">
        <f>MONTH(Table2[[#This Row],[Date]])</f>
        <v>12</v>
      </c>
    </row>
    <row r="136" spans="1:12" ht="15" thickBot="1" x14ac:dyDescent="0.35">
      <c r="A136" s="1" t="s">
        <v>440</v>
      </c>
      <c r="B136" s="1" t="s">
        <v>168</v>
      </c>
      <c r="C136" s="3">
        <v>916416148</v>
      </c>
      <c r="D136" s="5">
        <v>3990000</v>
      </c>
      <c r="E136" s="4">
        <v>1</v>
      </c>
      <c r="F136" s="4">
        <f>Table2[[#This Row],[Số lượng ]]*Table2[[#This Row],[Giá bán]]</f>
        <v>3990000</v>
      </c>
      <c r="G136" s="2">
        <v>45637</v>
      </c>
      <c r="H136" s="1" t="s">
        <v>7</v>
      </c>
      <c r="I136" s="1" t="s">
        <v>8</v>
      </c>
      <c r="J136" s="1" t="s">
        <v>26</v>
      </c>
      <c r="K136" s="1">
        <f>WEEKNUM(Table2[[#This Row],[Date]])</f>
        <v>50</v>
      </c>
      <c r="L136" s="1">
        <f>MONTH(Table2[[#This Row],[Date]])</f>
        <v>12</v>
      </c>
    </row>
    <row r="137" spans="1:12" ht="43.8" thickBot="1" x14ac:dyDescent="0.35">
      <c r="A137" s="1" t="s">
        <v>441</v>
      </c>
      <c r="B137" s="1" t="s">
        <v>169</v>
      </c>
      <c r="C137" s="3">
        <v>912944682</v>
      </c>
      <c r="D137" s="5">
        <v>2990000</v>
      </c>
      <c r="E137" s="4">
        <v>1</v>
      </c>
      <c r="F137" s="4">
        <f>Table2[[#This Row],[Số lượng ]]*Table2[[#This Row],[Giá bán]]</f>
        <v>2990000</v>
      </c>
      <c r="G137" s="2">
        <v>45639</v>
      </c>
      <c r="H137" s="1" t="s">
        <v>4</v>
      </c>
      <c r="I137" s="1" t="s">
        <v>8</v>
      </c>
      <c r="J137" s="1" t="s">
        <v>22</v>
      </c>
      <c r="K137" s="1">
        <f>WEEKNUM(Table2[[#This Row],[Date]])</f>
        <v>50</v>
      </c>
      <c r="L137" s="1">
        <f>MONTH(Table2[[#This Row],[Date]])</f>
        <v>12</v>
      </c>
    </row>
    <row r="138" spans="1:12" ht="29.4" thickBot="1" x14ac:dyDescent="0.35">
      <c r="A138" s="1" t="s">
        <v>442</v>
      </c>
      <c r="B138" s="1" t="s">
        <v>170</v>
      </c>
      <c r="C138" s="3">
        <v>952704903</v>
      </c>
      <c r="D138" s="5">
        <v>250000</v>
      </c>
      <c r="E138" s="4">
        <v>4</v>
      </c>
      <c r="F138" s="4">
        <f>Table2[[#This Row],[Số lượng ]]*Table2[[#This Row],[Giá bán]]</f>
        <v>1000000</v>
      </c>
      <c r="G138" s="2">
        <v>45642</v>
      </c>
      <c r="H138" s="1" t="s">
        <v>4</v>
      </c>
      <c r="I138" s="1" t="s">
        <v>8</v>
      </c>
      <c r="J138" s="1" t="s">
        <v>31</v>
      </c>
      <c r="K138" s="1">
        <f>WEEKNUM(Table2[[#This Row],[Date]])</f>
        <v>51</v>
      </c>
      <c r="L138" s="1">
        <f>MONTH(Table2[[#This Row],[Date]])</f>
        <v>12</v>
      </c>
    </row>
    <row r="139" spans="1:12" ht="29.4" thickBot="1" x14ac:dyDescent="0.35">
      <c r="A139" s="1" t="s">
        <v>443</v>
      </c>
      <c r="B139" s="1" t="s">
        <v>171</v>
      </c>
      <c r="C139" s="3">
        <v>943704923</v>
      </c>
      <c r="D139" s="5">
        <v>22990000</v>
      </c>
      <c r="E139" s="4">
        <v>2</v>
      </c>
      <c r="F139" s="4">
        <f>Table2[[#This Row],[Số lượng ]]*Table2[[#This Row],[Giá bán]]</f>
        <v>45980000</v>
      </c>
      <c r="G139" s="2">
        <v>45363</v>
      </c>
      <c r="H139" s="1" t="s">
        <v>7</v>
      </c>
      <c r="I139" s="1" t="s">
        <v>5</v>
      </c>
      <c r="J139" s="1" t="s">
        <v>34</v>
      </c>
      <c r="K139" s="1">
        <f>WEEKNUM(Table2[[#This Row],[Date]])</f>
        <v>11</v>
      </c>
      <c r="L139" s="1">
        <f>MONTH(Table2[[#This Row],[Date]])</f>
        <v>3</v>
      </c>
    </row>
    <row r="140" spans="1:12" ht="29.4" thickBot="1" x14ac:dyDescent="0.35">
      <c r="A140" s="1" t="s">
        <v>444</v>
      </c>
      <c r="B140" s="1" t="s">
        <v>172</v>
      </c>
      <c r="C140" s="3">
        <v>936738452</v>
      </c>
      <c r="D140" s="5">
        <v>8990000</v>
      </c>
      <c r="E140" s="4">
        <v>1</v>
      </c>
      <c r="F140" s="4">
        <f>Table2[[#This Row],[Số lượng ]]*Table2[[#This Row],[Giá bán]]</f>
        <v>8990000</v>
      </c>
      <c r="G140" s="2">
        <v>45654</v>
      </c>
      <c r="H140" s="1" t="s">
        <v>7</v>
      </c>
      <c r="I140" s="1" t="s">
        <v>16</v>
      </c>
      <c r="J140" s="1" t="s">
        <v>32</v>
      </c>
      <c r="K140" s="1">
        <f>WEEKNUM(Table2[[#This Row],[Date]])</f>
        <v>52</v>
      </c>
      <c r="L140" s="1">
        <f>MONTH(Table2[[#This Row],[Date]])</f>
        <v>12</v>
      </c>
    </row>
    <row r="141" spans="1:12" ht="43.8" thickBot="1" x14ac:dyDescent="0.35">
      <c r="A141" s="1" t="s">
        <v>445</v>
      </c>
      <c r="B141" s="1" t="s">
        <v>173</v>
      </c>
      <c r="C141" s="3">
        <v>924660143</v>
      </c>
      <c r="D141" s="5">
        <v>80000</v>
      </c>
      <c r="E141" s="4">
        <v>2</v>
      </c>
      <c r="F141" s="4">
        <f>Table2[[#This Row],[Số lượng ]]*Table2[[#This Row],[Giá bán]]</f>
        <v>160000</v>
      </c>
      <c r="G141" s="2">
        <v>45650</v>
      </c>
      <c r="H141" s="1" t="s">
        <v>4</v>
      </c>
      <c r="I141" s="1" t="s">
        <v>8</v>
      </c>
      <c r="J141" s="1" t="s">
        <v>12</v>
      </c>
      <c r="K141" s="1">
        <f>WEEKNUM(Table2[[#This Row],[Date]])</f>
        <v>52</v>
      </c>
      <c r="L141" s="1">
        <f>MONTH(Table2[[#This Row],[Date]])</f>
        <v>12</v>
      </c>
    </row>
    <row r="142" spans="1:12" ht="29.4" thickBot="1" x14ac:dyDescent="0.35">
      <c r="A142" s="1" t="s">
        <v>446</v>
      </c>
      <c r="B142" s="1" t="s">
        <v>174</v>
      </c>
      <c r="C142" s="3">
        <v>960237832</v>
      </c>
      <c r="D142" s="5">
        <v>25990000</v>
      </c>
      <c r="E142" s="4">
        <v>1</v>
      </c>
      <c r="F142" s="4">
        <f>Table2[[#This Row],[Số lượng ]]*Table2[[#This Row],[Giá bán]]</f>
        <v>25990000</v>
      </c>
      <c r="G142" s="2">
        <v>45648</v>
      </c>
      <c r="H142" s="1" t="s">
        <v>13</v>
      </c>
      <c r="I142" s="1" t="s">
        <v>5</v>
      </c>
      <c r="J142" s="1" t="s">
        <v>24</v>
      </c>
      <c r="K142" s="1">
        <f>WEEKNUM(Table2[[#This Row],[Date]])</f>
        <v>52</v>
      </c>
      <c r="L142" s="1">
        <f>MONTH(Table2[[#This Row],[Date]])</f>
        <v>12</v>
      </c>
    </row>
    <row r="143" spans="1:12" ht="29.4" thickBot="1" x14ac:dyDescent="0.35">
      <c r="A143" s="1" t="s">
        <v>447</v>
      </c>
      <c r="B143" s="1" t="s">
        <v>175</v>
      </c>
      <c r="C143" s="3">
        <v>929413516</v>
      </c>
      <c r="D143" s="5">
        <v>8990000</v>
      </c>
      <c r="E143" s="4">
        <v>1</v>
      </c>
      <c r="F143" s="4">
        <f>Table2[[#This Row],[Số lượng ]]*Table2[[#This Row],[Giá bán]]</f>
        <v>8990000</v>
      </c>
      <c r="G143" s="2">
        <v>45485</v>
      </c>
      <c r="H143" s="1" t="s">
        <v>7</v>
      </c>
      <c r="I143" s="1" t="s">
        <v>16</v>
      </c>
      <c r="J143" s="1" t="s">
        <v>32</v>
      </c>
      <c r="K143" s="1">
        <f>WEEKNUM(Table2[[#This Row],[Date]])</f>
        <v>28</v>
      </c>
      <c r="L143" s="1">
        <f>MONTH(Table2[[#This Row],[Date]])</f>
        <v>7</v>
      </c>
    </row>
    <row r="144" spans="1:12" ht="58.2" thickBot="1" x14ac:dyDescent="0.35">
      <c r="A144" s="1" t="s">
        <v>448</v>
      </c>
      <c r="B144" s="1" t="s">
        <v>176</v>
      </c>
      <c r="C144" s="3">
        <v>938876195</v>
      </c>
      <c r="D144" s="5">
        <v>280000</v>
      </c>
      <c r="E144" s="4">
        <v>1</v>
      </c>
      <c r="F144" s="4">
        <f>Table2[[#This Row],[Số lượng ]]*Table2[[#This Row],[Giá bán]]</f>
        <v>280000</v>
      </c>
      <c r="G144" s="2">
        <v>45638</v>
      </c>
      <c r="H144" s="1" t="s">
        <v>4</v>
      </c>
      <c r="I144" s="1" t="s">
        <v>8</v>
      </c>
      <c r="J144" s="1" t="s">
        <v>30</v>
      </c>
      <c r="K144" s="1">
        <f>WEEKNUM(Table2[[#This Row],[Date]])</f>
        <v>50</v>
      </c>
      <c r="L144" s="1">
        <f>MONTH(Table2[[#This Row],[Date]])</f>
        <v>12</v>
      </c>
    </row>
    <row r="145" spans="1:12" ht="29.4" thickBot="1" x14ac:dyDescent="0.35">
      <c r="A145" s="1" t="s">
        <v>449</v>
      </c>
      <c r="B145" s="1" t="s">
        <v>177</v>
      </c>
      <c r="C145" s="3">
        <v>971968116</v>
      </c>
      <c r="D145" s="5">
        <v>15990000</v>
      </c>
      <c r="E145" s="4">
        <v>2</v>
      </c>
      <c r="F145" s="4">
        <f>Table2[[#This Row],[Số lượng ]]*Table2[[#This Row],[Giá bán]]</f>
        <v>31980000</v>
      </c>
      <c r="G145" s="2">
        <v>45628</v>
      </c>
      <c r="H145" s="1" t="s">
        <v>7</v>
      </c>
      <c r="I145" s="1" t="s">
        <v>5</v>
      </c>
      <c r="J145" s="1" t="s">
        <v>14</v>
      </c>
      <c r="K145" s="1">
        <f>WEEKNUM(Table2[[#This Row],[Date]])</f>
        <v>49</v>
      </c>
      <c r="L145" s="1">
        <f>MONTH(Table2[[#This Row],[Date]])</f>
        <v>12</v>
      </c>
    </row>
    <row r="146" spans="1:12" ht="29.4" thickBot="1" x14ac:dyDescent="0.35">
      <c r="A146" s="1" t="s">
        <v>450</v>
      </c>
      <c r="B146" s="1" t="s">
        <v>178</v>
      </c>
      <c r="C146" s="3">
        <v>952462441</v>
      </c>
      <c r="D146" s="5">
        <v>6990000</v>
      </c>
      <c r="E146" s="4">
        <v>2</v>
      </c>
      <c r="F146" s="4">
        <f>Table2[[#This Row],[Số lượng ]]*Table2[[#This Row],[Giá bán]]</f>
        <v>13980000</v>
      </c>
      <c r="G146" s="2">
        <v>45485</v>
      </c>
      <c r="H146" s="1" t="s">
        <v>13</v>
      </c>
      <c r="I146" s="1" t="s">
        <v>5</v>
      </c>
      <c r="J146" s="1" t="s">
        <v>28</v>
      </c>
      <c r="K146" s="1">
        <f>WEEKNUM(Table2[[#This Row],[Date]])</f>
        <v>28</v>
      </c>
      <c r="L146" s="1">
        <f>MONTH(Table2[[#This Row],[Date]])</f>
        <v>7</v>
      </c>
    </row>
    <row r="147" spans="1:12" ht="29.4" thickBot="1" x14ac:dyDescent="0.35">
      <c r="A147" s="1" t="s">
        <v>451</v>
      </c>
      <c r="B147" s="1" t="s">
        <v>179</v>
      </c>
      <c r="C147" s="3">
        <v>915140967</v>
      </c>
      <c r="D147" s="5">
        <v>12500000</v>
      </c>
      <c r="E147" s="4">
        <v>1</v>
      </c>
      <c r="F147" s="4">
        <f>Table2[[#This Row],[Số lượng ]]*Table2[[#This Row],[Giá bán]]</f>
        <v>12500000</v>
      </c>
      <c r="G147" s="2">
        <v>45656</v>
      </c>
      <c r="H147" s="1" t="s">
        <v>4</v>
      </c>
      <c r="I147" s="1" t="s">
        <v>16</v>
      </c>
      <c r="J147" s="1" t="s">
        <v>18</v>
      </c>
      <c r="K147" s="1">
        <f>WEEKNUM(Table2[[#This Row],[Date]])</f>
        <v>53</v>
      </c>
      <c r="L147" s="1">
        <f>MONTH(Table2[[#This Row],[Date]])</f>
        <v>12</v>
      </c>
    </row>
    <row r="148" spans="1:12" ht="29.4" thickBot="1" x14ac:dyDescent="0.35">
      <c r="A148" s="1" t="s">
        <v>452</v>
      </c>
      <c r="B148" s="1" t="s">
        <v>180</v>
      </c>
      <c r="C148" s="3">
        <v>935504548</v>
      </c>
      <c r="D148" s="5">
        <v>250000</v>
      </c>
      <c r="E148" s="4">
        <v>4</v>
      </c>
      <c r="F148" s="4">
        <f>Table2[[#This Row],[Số lượng ]]*Table2[[#This Row],[Giá bán]]</f>
        <v>1000000</v>
      </c>
      <c r="G148" s="2">
        <v>45394</v>
      </c>
      <c r="H148" s="1" t="s">
        <v>4</v>
      </c>
      <c r="I148" s="1" t="s">
        <v>8</v>
      </c>
      <c r="J148" s="1" t="s">
        <v>31</v>
      </c>
      <c r="K148" s="1">
        <f>WEEKNUM(Table2[[#This Row],[Date]])</f>
        <v>15</v>
      </c>
      <c r="L148" s="1">
        <f>MONTH(Table2[[#This Row],[Date]])</f>
        <v>4</v>
      </c>
    </row>
    <row r="149" spans="1:12" ht="58.2" thickBot="1" x14ac:dyDescent="0.35">
      <c r="A149" s="1" t="s">
        <v>453</v>
      </c>
      <c r="B149" s="1" t="s">
        <v>181</v>
      </c>
      <c r="C149" s="3">
        <v>964953237</v>
      </c>
      <c r="D149" s="5">
        <v>280000</v>
      </c>
      <c r="E149" s="4">
        <v>3</v>
      </c>
      <c r="F149" s="4">
        <f>Table2[[#This Row],[Số lượng ]]*Table2[[#This Row],[Giá bán]]</f>
        <v>840000</v>
      </c>
      <c r="G149" s="2">
        <v>45363</v>
      </c>
      <c r="H149" s="1" t="s">
        <v>7</v>
      </c>
      <c r="I149" s="1" t="s">
        <v>8</v>
      </c>
      <c r="J149" s="1" t="s">
        <v>30</v>
      </c>
      <c r="K149" s="1">
        <f>WEEKNUM(Table2[[#This Row],[Date]])</f>
        <v>11</v>
      </c>
      <c r="L149" s="1">
        <f>MONTH(Table2[[#This Row],[Date]])</f>
        <v>3</v>
      </c>
    </row>
    <row r="150" spans="1:12" ht="43.8" thickBot="1" x14ac:dyDescent="0.35">
      <c r="A150" s="1" t="s">
        <v>454</v>
      </c>
      <c r="B150" s="1" t="s">
        <v>182</v>
      </c>
      <c r="C150" s="3">
        <v>954013571</v>
      </c>
      <c r="D150" s="5">
        <v>28990000</v>
      </c>
      <c r="E150" s="4">
        <v>1</v>
      </c>
      <c r="F150" s="4">
        <f>Table2[[#This Row],[Số lượng ]]*Table2[[#This Row],[Giá bán]]</f>
        <v>28990000</v>
      </c>
      <c r="G150" s="2">
        <v>45639</v>
      </c>
      <c r="H150" s="1" t="s">
        <v>7</v>
      </c>
      <c r="I150" s="1" t="s">
        <v>5</v>
      </c>
      <c r="J150" s="1" t="s">
        <v>15</v>
      </c>
      <c r="K150" s="1">
        <f>WEEKNUM(Table2[[#This Row],[Date]])</f>
        <v>50</v>
      </c>
      <c r="L150" s="1">
        <f>MONTH(Table2[[#This Row],[Date]])</f>
        <v>12</v>
      </c>
    </row>
    <row r="151" spans="1:12" ht="29.4" thickBot="1" x14ac:dyDescent="0.35">
      <c r="A151" s="1" t="s">
        <v>455</v>
      </c>
      <c r="B151" s="1" t="s">
        <v>183</v>
      </c>
      <c r="C151" s="3">
        <v>980361272</v>
      </c>
      <c r="D151" s="5">
        <v>3990000</v>
      </c>
      <c r="E151" s="4">
        <v>4</v>
      </c>
      <c r="F151" s="4">
        <f>Table2[[#This Row],[Số lượng ]]*Table2[[#This Row],[Giá bán]]</f>
        <v>15960000</v>
      </c>
      <c r="G151" s="2">
        <v>45650</v>
      </c>
      <c r="H151" s="1" t="s">
        <v>13</v>
      </c>
      <c r="I151" s="1" t="s">
        <v>8</v>
      </c>
      <c r="J151" s="1" t="s">
        <v>26</v>
      </c>
      <c r="K151" s="1">
        <f>WEEKNUM(Table2[[#This Row],[Date]])</f>
        <v>52</v>
      </c>
      <c r="L151" s="1">
        <f>MONTH(Table2[[#This Row],[Date]])</f>
        <v>12</v>
      </c>
    </row>
    <row r="152" spans="1:12" ht="29.4" thickBot="1" x14ac:dyDescent="0.35">
      <c r="A152" s="1" t="s">
        <v>456</v>
      </c>
      <c r="B152" s="1" t="s">
        <v>184</v>
      </c>
      <c r="C152" s="3">
        <v>964614193</v>
      </c>
      <c r="D152" s="5">
        <v>3990000</v>
      </c>
      <c r="E152" s="4">
        <v>4</v>
      </c>
      <c r="F152" s="4">
        <f>Table2[[#This Row],[Số lượng ]]*Table2[[#This Row],[Giá bán]]</f>
        <v>15960000</v>
      </c>
      <c r="G152" s="2">
        <v>45656</v>
      </c>
      <c r="H152" s="1" t="s">
        <v>7</v>
      </c>
      <c r="I152" s="1" t="s">
        <v>8</v>
      </c>
      <c r="J152" s="1" t="s">
        <v>26</v>
      </c>
      <c r="K152" s="1">
        <f>WEEKNUM(Table2[[#This Row],[Date]])</f>
        <v>53</v>
      </c>
      <c r="L152" s="1">
        <f>MONTH(Table2[[#This Row],[Date]])</f>
        <v>12</v>
      </c>
    </row>
    <row r="153" spans="1:12" ht="29.4" thickBot="1" x14ac:dyDescent="0.35">
      <c r="A153" s="1" t="s">
        <v>457</v>
      </c>
      <c r="B153" s="1" t="s">
        <v>185</v>
      </c>
      <c r="C153" s="3">
        <v>983832717</v>
      </c>
      <c r="D153" s="5">
        <v>22990000</v>
      </c>
      <c r="E153" s="4">
        <v>2</v>
      </c>
      <c r="F153" s="4">
        <f>Table2[[#This Row],[Số lượng ]]*Table2[[#This Row],[Giá bán]]</f>
        <v>45980000</v>
      </c>
      <c r="G153" s="2">
        <v>45641</v>
      </c>
      <c r="H153" s="1" t="s">
        <v>7</v>
      </c>
      <c r="I153" s="1" t="s">
        <v>5</v>
      </c>
      <c r="J153" s="1" t="s">
        <v>34</v>
      </c>
      <c r="K153" s="1">
        <f>WEEKNUM(Table2[[#This Row],[Date]])</f>
        <v>51</v>
      </c>
      <c r="L153" s="1">
        <f>MONTH(Table2[[#This Row],[Date]])</f>
        <v>12</v>
      </c>
    </row>
    <row r="154" spans="1:12" ht="29.4" thickBot="1" x14ac:dyDescent="0.35">
      <c r="A154" s="1" t="s">
        <v>458</v>
      </c>
      <c r="B154" s="1" t="s">
        <v>186</v>
      </c>
      <c r="C154" s="3">
        <v>919801857</v>
      </c>
      <c r="D154" s="5">
        <v>22990000</v>
      </c>
      <c r="E154" s="4">
        <v>1</v>
      </c>
      <c r="F154" s="4">
        <f>Table2[[#This Row],[Số lượng ]]*Table2[[#This Row],[Giá bán]]</f>
        <v>22990000</v>
      </c>
      <c r="G154" s="2">
        <v>45640</v>
      </c>
      <c r="H154" s="1" t="s">
        <v>13</v>
      </c>
      <c r="I154" s="1" t="s">
        <v>5</v>
      </c>
      <c r="J154" s="1" t="s">
        <v>34</v>
      </c>
      <c r="K154" s="1">
        <f>WEEKNUM(Table2[[#This Row],[Date]])</f>
        <v>50</v>
      </c>
      <c r="L154" s="1">
        <f>MONTH(Table2[[#This Row],[Date]])</f>
        <v>12</v>
      </c>
    </row>
    <row r="155" spans="1:12" ht="58.2" thickBot="1" x14ac:dyDescent="0.35">
      <c r="A155" s="1" t="s">
        <v>459</v>
      </c>
      <c r="B155" s="1" t="s">
        <v>187</v>
      </c>
      <c r="C155" s="3">
        <v>978131950</v>
      </c>
      <c r="D155" s="5">
        <v>450000</v>
      </c>
      <c r="E155" s="4">
        <v>4</v>
      </c>
      <c r="F155" s="4">
        <f>Table2[[#This Row],[Số lượng ]]*Table2[[#This Row],[Giá bán]]</f>
        <v>1800000</v>
      </c>
      <c r="G155" s="2">
        <v>45627</v>
      </c>
      <c r="H155" s="1" t="s">
        <v>7</v>
      </c>
      <c r="I155" s="1" t="s">
        <v>8</v>
      </c>
      <c r="J155" s="1" t="s">
        <v>21</v>
      </c>
      <c r="K155" s="1">
        <f>WEEKNUM(Table2[[#This Row],[Date]])</f>
        <v>49</v>
      </c>
      <c r="L155" s="1">
        <f>MONTH(Table2[[#This Row],[Date]])</f>
        <v>12</v>
      </c>
    </row>
    <row r="156" spans="1:12" ht="43.8" thickBot="1" x14ac:dyDescent="0.35">
      <c r="A156" s="1" t="s">
        <v>460</v>
      </c>
      <c r="B156" s="1" t="s">
        <v>188</v>
      </c>
      <c r="C156" s="3">
        <v>978093604</v>
      </c>
      <c r="D156" s="5">
        <v>28990000</v>
      </c>
      <c r="E156" s="4">
        <v>2</v>
      </c>
      <c r="F156" s="4">
        <f>Table2[[#This Row],[Số lượng ]]*Table2[[#This Row],[Giá bán]]</f>
        <v>57980000</v>
      </c>
      <c r="G156" s="2">
        <v>45636</v>
      </c>
      <c r="H156" s="1" t="s">
        <v>7</v>
      </c>
      <c r="I156" s="1" t="s">
        <v>5</v>
      </c>
      <c r="J156" s="1" t="s">
        <v>15</v>
      </c>
      <c r="K156" s="1">
        <f>WEEKNUM(Table2[[#This Row],[Date]])</f>
        <v>50</v>
      </c>
      <c r="L156" s="1">
        <f>MONTH(Table2[[#This Row],[Date]])</f>
        <v>12</v>
      </c>
    </row>
    <row r="157" spans="1:12" ht="29.4" thickBot="1" x14ac:dyDescent="0.35">
      <c r="A157" s="1" t="s">
        <v>461</v>
      </c>
      <c r="B157" s="1" t="s">
        <v>189</v>
      </c>
      <c r="C157" s="3">
        <v>912059919</v>
      </c>
      <c r="D157" s="5">
        <v>250000</v>
      </c>
      <c r="E157" s="4">
        <v>2</v>
      </c>
      <c r="F157" s="4">
        <f>Table2[[#This Row],[Số lượng ]]*Table2[[#This Row],[Giá bán]]</f>
        <v>500000</v>
      </c>
      <c r="G157" s="2">
        <v>45631</v>
      </c>
      <c r="H157" s="1" t="s">
        <v>7</v>
      </c>
      <c r="I157" s="1" t="s">
        <v>8</v>
      </c>
      <c r="J157" s="1" t="s">
        <v>31</v>
      </c>
      <c r="K157" s="1">
        <f>WEEKNUM(Table2[[#This Row],[Date]])</f>
        <v>49</v>
      </c>
      <c r="L157" s="1">
        <f>MONTH(Table2[[#This Row],[Date]])</f>
        <v>12</v>
      </c>
    </row>
    <row r="158" spans="1:12" ht="58.2" thickBot="1" x14ac:dyDescent="0.35">
      <c r="A158" s="1" t="s">
        <v>462</v>
      </c>
      <c r="B158" s="1" t="s">
        <v>190</v>
      </c>
      <c r="C158" s="3">
        <v>920939011</v>
      </c>
      <c r="D158" s="5">
        <v>280000</v>
      </c>
      <c r="E158" s="4">
        <v>3</v>
      </c>
      <c r="F158" s="4">
        <f>Table2[[#This Row],[Số lượng ]]*Table2[[#This Row],[Giá bán]]</f>
        <v>840000</v>
      </c>
      <c r="G158" s="2">
        <v>45648</v>
      </c>
      <c r="H158" s="1" t="s">
        <v>4</v>
      </c>
      <c r="I158" s="1" t="s">
        <v>8</v>
      </c>
      <c r="J158" s="1" t="s">
        <v>30</v>
      </c>
      <c r="K158" s="1">
        <f>WEEKNUM(Table2[[#This Row],[Date]])</f>
        <v>52</v>
      </c>
      <c r="L158" s="1">
        <f>MONTH(Table2[[#This Row],[Date]])</f>
        <v>12</v>
      </c>
    </row>
    <row r="159" spans="1:12" ht="29.4" thickBot="1" x14ac:dyDescent="0.35">
      <c r="A159" s="1" t="s">
        <v>463</v>
      </c>
      <c r="B159" s="1" t="s">
        <v>191</v>
      </c>
      <c r="C159" s="3">
        <v>996031876</v>
      </c>
      <c r="D159" s="5">
        <v>15990000</v>
      </c>
      <c r="E159" s="4">
        <v>1</v>
      </c>
      <c r="F159" s="4">
        <f>Table2[[#This Row],[Số lượng ]]*Table2[[#This Row],[Giá bán]]</f>
        <v>15990000</v>
      </c>
      <c r="G159" s="2">
        <v>45645</v>
      </c>
      <c r="H159" s="1" t="s">
        <v>4</v>
      </c>
      <c r="I159" s="1" t="s">
        <v>5</v>
      </c>
      <c r="J159" s="1" t="s">
        <v>14</v>
      </c>
      <c r="K159" s="1">
        <f>WEEKNUM(Table2[[#This Row],[Date]])</f>
        <v>51</v>
      </c>
      <c r="L159" s="1">
        <f>MONTH(Table2[[#This Row],[Date]])</f>
        <v>12</v>
      </c>
    </row>
    <row r="160" spans="1:12" ht="29.4" thickBot="1" x14ac:dyDescent="0.35">
      <c r="A160" s="1" t="s">
        <v>464</v>
      </c>
      <c r="B160" s="1" t="s">
        <v>192</v>
      </c>
      <c r="C160" s="3">
        <v>997488142</v>
      </c>
      <c r="D160" s="5">
        <v>18990000</v>
      </c>
      <c r="E160" s="4">
        <v>2</v>
      </c>
      <c r="F160" s="4">
        <f>Table2[[#This Row],[Số lượng ]]*Table2[[#This Row],[Giá bán]]</f>
        <v>37980000</v>
      </c>
      <c r="G160" s="2">
        <v>45608</v>
      </c>
      <c r="H160" s="1" t="s">
        <v>13</v>
      </c>
      <c r="I160" s="1" t="s">
        <v>5</v>
      </c>
      <c r="J160" s="1" t="s">
        <v>10</v>
      </c>
      <c r="K160" s="1">
        <f>WEEKNUM(Table2[[#This Row],[Date]])</f>
        <v>46</v>
      </c>
      <c r="L160" s="1">
        <f>MONTH(Table2[[#This Row],[Date]])</f>
        <v>11</v>
      </c>
    </row>
    <row r="161" spans="1:12" ht="58.2" thickBot="1" x14ac:dyDescent="0.35">
      <c r="A161" s="1" t="s">
        <v>465</v>
      </c>
      <c r="B161" s="1" t="s">
        <v>193</v>
      </c>
      <c r="C161" s="3">
        <v>925898299</v>
      </c>
      <c r="D161" s="5">
        <v>450000</v>
      </c>
      <c r="E161" s="4">
        <v>5</v>
      </c>
      <c r="F161" s="4">
        <f>Table2[[#This Row],[Số lượng ]]*Table2[[#This Row],[Giá bán]]</f>
        <v>2250000</v>
      </c>
      <c r="G161" s="2">
        <v>45651</v>
      </c>
      <c r="H161" s="1" t="s">
        <v>13</v>
      </c>
      <c r="I161" s="1" t="s">
        <v>8</v>
      </c>
      <c r="J161" s="1" t="s">
        <v>21</v>
      </c>
      <c r="K161" s="1">
        <f>WEEKNUM(Table2[[#This Row],[Date]])</f>
        <v>52</v>
      </c>
      <c r="L161" s="1">
        <f>MONTH(Table2[[#This Row],[Date]])</f>
        <v>12</v>
      </c>
    </row>
    <row r="162" spans="1:12" ht="29.4" thickBot="1" x14ac:dyDescent="0.35">
      <c r="A162" s="1" t="s">
        <v>466</v>
      </c>
      <c r="B162" s="1" t="s">
        <v>194</v>
      </c>
      <c r="C162" s="3">
        <v>952831009</v>
      </c>
      <c r="D162" s="5">
        <v>9990000</v>
      </c>
      <c r="E162" s="4">
        <v>2</v>
      </c>
      <c r="F162" s="4">
        <f>Table2[[#This Row],[Số lượng ]]*Table2[[#This Row],[Giá bán]]</f>
        <v>19980000</v>
      </c>
      <c r="G162" s="2">
        <v>45641</v>
      </c>
      <c r="H162" s="1" t="s">
        <v>13</v>
      </c>
      <c r="I162" s="1" t="s">
        <v>5</v>
      </c>
      <c r="J162" s="1" t="s">
        <v>6</v>
      </c>
      <c r="K162" s="1">
        <f>WEEKNUM(Table2[[#This Row],[Date]])</f>
        <v>51</v>
      </c>
      <c r="L162" s="1">
        <f>MONTH(Table2[[#This Row],[Date]])</f>
        <v>12</v>
      </c>
    </row>
    <row r="163" spans="1:12" ht="29.4" thickBot="1" x14ac:dyDescent="0.35">
      <c r="A163" s="1" t="s">
        <v>467</v>
      </c>
      <c r="B163" s="1" t="s">
        <v>195</v>
      </c>
      <c r="C163" s="3">
        <v>946677730</v>
      </c>
      <c r="D163" s="5">
        <v>5290000</v>
      </c>
      <c r="E163" s="4">
        <v>3</v>
      </c>
      <c r="F163" s="4">
        <f>Table2[[#This Row],[Số lượng ]]*Table2[[#This Row],[Giá bán]]</f>
        <v>15870000</v>
      </c>
      <c r="G163" s="2">
        <v>45651</v>
      </c>
      <c r="H163" s="1" t="s">
        <v>13</v>
      </c>
      <c r="I163" s="1" t="s">
        <v>8</v>
      </c>
      <c r="J163" s="1" t="s">
        <v>27</v>
      </c>
      <c r="K163" s="1">
        <f>WEEKNUM(Table2[[#This Row],[Date]])</f>
        <v>52</v>
      </c>
      <c r="L163" s="1">
        <f>MONTH(Table2[[#This Row],[Date]])</f>
        <v>12</v>
      </c>
    </row>
    <row r="164" spans="1:12" ht="29.4" thickBot="1" x14ac:dyDescent="0.35">
      <c r="A164" s="1" t="s">
        <v>468</v>
      </c>
      <c r="B164" s="1" t="s">
        <v>196</v>
      </c>
      <c r="C164" s="3">
        <v>992558242</v>
      </c>
      <c r="D164" s="5">
        <v>22990000</v>
      </c>
      <c r="E164" s="4">
        <v>2</v>
      </c>
      <c r="F164" s="4">
        <f>Table2[[#This Row],[Số lượng ]]*Table2[[#This Row],[Giá bán]]</f>
        <v>45980000</v>
      </c>
      <c r="G164" s="2">
        <v>45650</v>
      </c>
      <c r="H164" s="1" t="s">
        <v>13</v>
      </c>
      <c r="I164" s="1" t="s">
        <v>5</v>
      </c>
      <c r="J164" s="1" t="s">
        <v>34</v>
      </c>
      <c r="K164" s="1">
        <f>WEEKNUM(Table2[[#This Row],[Date]])</f>
        <v>52</v>
      </c>
      <c r="L164" s="1">
        <f>MONTH(Table2[[#This Row],[Date]])</f>
        <v>12</v>
      </c>
    </row>
    <row r="165" spans="1:12" ht="29.4" thickBot="1" x14ac:dyDescent="0.35">
      <c r="A165" s="1" t="s">
        <v>469</v>
      </c>
      <c r="B165" s="1" t="s">
        <v>197</v>
      </c>
      <c r="C165" s="3">
        <v>915512205</v>
      </c>
      <c r="D165" s="5">
        <v>9990000</v>
      </c>
      <c r="E165" s="4">
        <v>2</v>
      </c>
      <c r="F165" s="4">
        <f>Table2[[#This Row],[Số lượng ]]*Table2[[#This Row],[Giá bán]]</f>
        <v>19980000</v>
      </c>
      <c r="G165" s="2">
        <v>45644</v>
      </c>
      <c r="H165" s="1" t="s">
        <v>7</v>
      </c>
      <c r="I165" s="1" t="s">
        <v>16</v>
      </c>
      <c r="J165" s="1" t="s">
        <v>23</v>
      </c>
      <c r="K165" s="1">
        <f>WEEKNUM(Table2[[#This Row],[Date]])</f>
        <v>51</v>
      </c>
      <c r="L165" s="1">
        <f>MONTH(Table2[[#This Row],[Date]])</f>
        <v>12</v>
      </c>
    </row>
    <row r="166" spans="1:12" ht="29.4" thickBot="1" x14ac:dyDescent="0.35">
      <c r="A166" s="1" t="s">
        <v>470</v>
      </c>
      <c r="B166" s="1" t="s">
        <v>198</v>
      </c>
      <c r="C166" s="3">
        <v>914877451</v>
      </c>
      <c r="D166" s="5">
        <v>8990000</v>
      </c>
      <c r="E166" s="4">
        <v>1</v>
      </c>
      <c r="F166" s="4">
        <f>Table2[[#This Row],[Số lượng ]]*Table2[[#This Row],[Giá bán]]</f>
        <v>8990000</v>
      </c>
      <c r="G166" s="2">
        <v>45652</v>
      </c>
      <c r="H166" s="1" t="s">
        <v>7</v>
      </c>
      <c r="I166" s="1" t="s">
        <v>16</v>
      </c>
      <c r="J166" s="1" t="s">
        <v>32</v>
      </c>
      <c r="K166" s="1">
        <f>WEEKNUM(Table2[[#This Row],[Date]])</f>
        <v>52</v>
      </c>
      <c r="L166" s="1">
        <f>MONTH(Table2[[#This Row],[Date]])</f>
        <v>12</v>
      </c>
    </row>
    <row r="167" spans="1:12" ht="29.4" thickBot="1" x14ac:dyDescent="0.35">
      <c r="A167" s="1" t="s">
        <v>471</v>
      </c>
      <c r="B167" s="1" t="s">
        <v>199</v>
      </c>
      <c r="C167" s="3">
        <v>970887034</v>
      </c>
      <c r="D167" s="5">
        <v>9990000</v>
      </c>
      <c r="E167" s="4">
        <v>2</v>
      </c>
      <c r="F167" s="4">
        <f>Table2[[#This Row],[Số lượng ]]*Table2[[#This Row],[Giá bán]]</f>
        <v>19980000</v>
      </c>
      <c r="G167" s="2">
        <v>45648</v>
      </c>
      <c r="H167" s="1" t="s">
        <v>13</v>
      </c>
      <c r="I167" s="1" t="s">
        <v>16</v>
      </c>
      <c r="J167" s="1" t="s">
        <v>23</v>
      </c>
      <c r="K167" s="1">
        <f>WEEKNUM(Table2[[#This Row],[Date]])</f>
        <v>52</v>
      </c>
      <c r="L167" s="1">
        <f>MONTH(Table2[[#This Row],[Date]])</f>
        <v>12</v>
      </c>
    </row>
    <row r="168" spans="1:12" ht="29.4" thickBot="1" x14ac:dyDescent="0.35">
      <c r="A168" s="1" t="s">
        <v>472</v>
      </c>
      <c r="B168" s="1" t="s">
        <v>200</v>
      </c>
      <c r="C168" s="3">
        <v>950818905</v>
      </c>
      <c r="D168" s="5">
        <v>15990000</v>
      </c>
      <c r="E168" s="4">
        <v>1</v>
      </c>
      <c r="F168" s="4">
        <f>Table2[[#This Row],[Số lượng ]]*Table2[[#This Row],[Giá bán]]</f>
        <v>15990000</v>
      </c>
      <c r="G168" s="2">
        <v>45632</v>
      </c>
      <c r="H168" s="1" t="s">
        <v>4</v>
      </c>
      <c r="I168" s="1" t="s">
        <v>5</v>
      </c>
      <c r="J168" s="1" t="s">
        <v>14</v>
      </c>
      <c r="K168" s="1">
        <f>WEEKNUM(Table2[[#This Row],[Date]])</f>
        <v>49</v>
      </c>
      <c r="L168" s="1">
        <f>MONTH(Table2[[#This Row],[Date]])</f>
        <v>12</v>
      </c>
    </row>
    <row r="169" spans="1:12" ht="29.4" thickBot="1" x14ac:dyDescent="0.35">
      <c r="A169" s="1" t="s">
        <v>473</v>
      </c>
      <c r="B169" s="1" t="s">
        <v>201</v>
      </c>
      <c r="C169" s="3">
        <v>964830300</v>
      </c>
      <c r="D169" s="5">
        <v>350000</v>
      </c>
      <c r="E169" s="4">
        <v>4</v>
      </c>
      <c r="F169" s="4">
        <f>Table2[[#This Row],[Số lượng ]]*Table2[[#This Row],[Giá bán]]</f>
        <v>1400000</v>
      </c>
      <c r="G169" s="2">
        <v>45649</v>
      </c>
      <c r="H169" s="1" t="s">
        <v>7</v>
      </c>
      <c r="I169" s="1" t="s">
        <v>8</v>
      </c>
      <c r="J169" s="1" t="s">
        <v>9</v>
      </c>
      <c r="K169" s="1">
        <f>WEEKNUM(Table2[[#This Row],[Date]])</f>
        <v>52</v>
      </c>
      <c r="L169" s="1">
        <f>MONTH(Table2[[#This Row],[Date]])</f>
        <v>12</v>
      </c>
    </row>
    <row r="170" spans="1:12" ht="58.2" thickBot="1" x14ac:dyDescent="0.35">
      <c r="A170" s="1" t="s">
        <v>474</v>
      </c>
      <c r="B170" s="1" t="s">
        <v>202</v>
      </c>
      <c r="C170" s="3">
        <v>951708177</v>
      </c>
      <c r="D170" s="5">
        <v>450000</v>
      </c>
      <c r="E170" s="4">
        <v>4</v>
      </c>
      <c r="F170" s="4">
        <f>Table2[[#This Row],[Số lượng ]]*Table2[[#This Row],[Giá bán]]</f>
        <v>1800000</v>
      </c>
      <c r="G170" s="2">
        <v>45303</v>
      </c>
      <c r="H170" s="1" t="s">
        <v>13</v>
      </c>
      <c r="I170" s="1" t="s">
        <v>8</v>
      </c>
      <c r="J170" s="1" t="s">
        <v>21</v>
      </c>
      <c r="K170" s="1">
        <f>WEEKNUM(Table2[[#This Row],[Date]])</f>
        <v>2</v>
      </c>
      <c r="L170" s="1">
        <f>MONTH(Table2[[#This Row],[Date]])</f>
        <v>1</v>
      </c>
    </row>
    <row r="171" spans="1:12" ht="29.4" thickBot="1" x14ac:dyDescent="0.35">
      <c r="A171" s="1" t="s">
        <v>475</v>
      </c>
      <c r="B171" s="1" t="s">
        <v>203</v>
      </c>
      <c r="C171" s="3">
        <v>924363501</v>
      </c>
      <c r="D171" s="5">
        <v>18990000</v>
      </c>
      <c r="E171" s="4">
        <v>1</v>
      </c>
      <c r="F171" s="4">
        <f>Table2[[#This Row],[Số lượng ]]*Table2[[#This Row],[Giá bán]]</f>
        <v>18990000</v>
      </c>
      <c r="G171" s="2">
        <v>45643</v>
      </c>
      <c r="H171" s="1" t="s">
        <v>7</v>
      </c>
      <c r="I171" s="1" t="s">
        <v>5</v>
      </c>
      <c r="J171" s="1" t="s">
        <v>11</v>
      </c>
      <c r="K171" s="1">
        <f>WEEKNUM(Table2[[#This Row],[Date]])</f>
        <v>51</v>
      </c>
      <c r="L171" s="1">
        <f>MONTH(Table2[[#This Row],[Date]])</f>
        <v>12</v>
      </c>
    </row>
    <row r="172" spans="1:12" ht="29.4" thickBot="1" x14ac:dyDescent="0.35">
      <c r="A172" s="1" t="s">
        <v>476</v>
      </c>
      <c r="B172" s="1" t="s">
        <v>204</v>
      </c>
      <c r="C172" s="3">
        <v>931127115</v>
      </c>
      <c r="D172" s="5">
        <v>9990000</v>
      </c>
      <c r="E172" s="4">
        <v>2</v>
      </c>
      <c r="F172" s="4">
        <f>Table2[[#This Row],[Số lượng ]]*Table2[[#This Row],[Giá bán]]</f>
        <v>19980000</v>
      </c>
      <c r="G172" s="2">
        <v>45577</v>
      </c>
      <c r="H172" s="1" t="s">
        <v>13</v>
      </c>
      <c r="I172" s="1" t="s">
        <v>16</v>
      </c>
      <c r="J172" s="1" t="s">
        <v>23</v>
      </c>
      <c r="K172" s="1">
        <f>WEEKNUM(Table2[[#This Row],[Date]])</f>
        <v>41</v>
      </c>
      <c r="L172" s="1">
        <f>MONTH(Table2[[#This Row],[Date]])</f>
        <v>10</v>
      </c>
    </row>
    <row r="173" spans="1:12" ht="29.4" thickBot="1" x14ac:dyDescent="0.35">
      <c r="A173" s="1" t="s">
        <v>477</v>
      </c>
      <c r="B173" s="1" t="s">
        <v>205</v>
      </c>
      <c r="C173" s="3">
        <v>945594951</v>
      </c>
      <c r="D173" s="5">
        <v>350000</v>
      </c>
      <c r="E173" s="4">
        <v>5</v>
      </c>
      <c r="F173" s="4">
        <f>Table2[[#This Row],[Số lượng ]]*Table2[[#This Row],[Giá bán]]</f>
        <v>1750000</v>
      </c>
      <c r="G173" s="2">
        <v>45636</v>
      </c>
      <c r="H173" s="1" t="s">
        <v>13</v>
      </c>
      <c r="I173" s="1" t="s">
        <v>8</v>
      </c>
      <c r="J173" s="1" t="s">
        <v>9</v>
      </c>
      <c r="K173" s="1">
        <f>WEEKNUM(Table2[[#This Row],[Date]])</f>
        <v>50</v>
      </c>
      <c r="L173" s="1">
        <f>MONTH(Table2[[#This Row],[Date]])</f>
        <v>12</v>
      </c>
    </row>
    <row r="174" spans="1:12" ht="29.4" thickBot="1" x14ac:dyDescent="0.35">
      <c r="A174" s="1" t="s">
        <v>478</v>
      </c>
      <c r="B174" s="1" t="s">
        <v>206</v>
      </c>
      <c r="C174" s="3">
        <v>923798190</v>
      </c>
      <c r="D174" s="5">
        <v>25990000</v>
      </c>
      <c r="E174" s="4">
        <v>1</v>
      </c>
      <c r="F174" s="4">
        <f>Table2[[#This Row],[Số lượng ]]*Table2[[#This Row],[Giá bán]]</f>
        <v>25990000</v>
      </c>
      <c r="G174" s="2">
        <v>45547</v>
      </c>
      <c r="H174" s="1" t="s">
        <v>4</v>
      </c>
      <c r="I174" s="1" t="s">
        <v>5</v>
      </c>
      <c r="J174" s="1" t="s">
        <v>24</v>
      </c>
      <c r="K174" s="1">
        <f>WEEKNUM(Table2[[#This Row],[Date]])</f>
        <v>37</v>
      </c>
      <c r="L174" s="1">
        <f>MONTH(Table2[[#This Row],[Date]])</f>
        <v>9</v>
      </c>
    </row>
    <row r="175" spans="1:12" ht="29.4" thickBot="1" x14ac:dyDescent="0.35">
      <c r="A175" s="1" t="s">
        <v>479</v>
      </c>
      <c r="B175" s="1" t="s">
        <v>207</v>
      </c>
      <c r="C175" s="3">
        <v>942138745</v>
      </c>
      <c r="D175" s="5">
        <v>22990000</v>
      </c>
      <c r="E175" s="4">
        <v>1</v>
      </c>
      <c r="F175" s="4">
        <f>Table2[[#This Row],[Số lượng ]]*Table2[[#This Row],[Giá bán]]</f>
        <v>22990000</v>
      </c>
      <c r="G175" s="2">
        <v>45516</v>
      </c>
      <c r="H175" s="1" t="s">
        <v>13</v>
      </c>
      <c r="I175" s="1" t="s">
        <v>5</v>
      </c>
      <c r="J175" s="1" t="s">
        <v>34</v>
      </c>
      <c r="K175" s="1">
        <f>WEEKNUM(Table2[[#This Row],[Date]])</f>
        <v>33</v>
      </c>
      <c r="L175" s="1">
        <f>MONTH(Table2[[#This Row],[Date]])</f>
        <v>8</v>
      </c>
    </row>
    <row r="176" spans="1:12" ht="29.4" thickBot="1" x14ac:dyDescent="0.35">
      <c r="A176" s="1" t="s">
        <v>480</v>
      </c>
      <c r="B176" s="1" t="s">
        <v>208</v>
      </c>
      <c r="C176" s="3">
        <v>984098828</v>
      </c>
      <c r="D176" s="5">
        <v>18490000</v>
      </c>
      <c r="E176" s="4">
        <v>2</v>
      </c>
      <c r="F176" s="4">
        <f>Table2[[#This Row],[Số lượng ]]*Table2[[#This Row],[Giá bán]]</f>
        <v>36980000</v>
      </c>
      <c r="G176" s="2">
        <v>45651</v>
      </c>
      <c r="H176" s="1" t="s">
        <v>7</v>
      </c>
      <c r="I176" s="1" t="s">
        <v>16</v>
      </c>
      <c r="J176" s="1" t="s">
        <v>17</v>
      </c>
      <c r="K176" s="1">
        <f>WEEKNUM(Table2[[#This Row],[Date]])</f>
        <v>52</v>
      </c>
      <c r="L176" s="1">
        <f>MONTH(Table2[[#This Row],[Date]])</f>
        <v>12</v>
      </c>
    </row>
    <row r="177" spans="1:12" ht="43.8" thickBot="1" x14ac:dyDescent="0.35">
      <c r="A177" s="1" t="s">
        <v>481</v>
      </c>
      <c r="B177" s="1" t="s">
        <v>209</v>
      </c>
      <c r="C177" s="3">
        <v>962755436</v>
      </c>
      <c r="D177" s="5">
        <v>890000</v>
      </c>
      <c r="E177" s="4">
        <v>2</v>
      </c>
      <c r="F177" s="4">
        <f>Table2[[#This Row],[Số lượng ]]*Table2[[#This Row],[Giá bán]]</f>
        <v>1780000</v>
      </c>
      <c r="G177" s="2">
        <v>45424</v>
      </c>
      <c r="H177" s="1" t="s">
        <v>7</v>
      </c>
      <c r="I177" s="1" t="s">
        <v>8</v>
      </c>
      <c r="J177" s="1" t="s">
        <v>33</v>
      </c>
      <c r="K177" s="1">
        <f>WEEKNUM(Table2[[#This Row],[Date]])</f>
        <v>20</v>
      </c>
      <c r="L177" s="1">
        <f>MONTH(Table2[[#This Row],[Date]])</f>
        <v>5</v>
      </c>
    </row>
    <row r="178" spans="1:12" ht="29.4" thickBot="1" x14ac:dyDescent="0.35">
      <c r="A178" s="1" t="s">
        <v>482</v>
      </c>
      <c r="B178" s="1" t="s">
        <v>210</v>
      </c>
      <c r="C178" s="3">
        <v>978778646</v>
      </c>
      <c r="D178" s="5">
        <v>8900000</v>
      </c>
      <c r="E178" s="4">
        <v>1</v>
      </c>
      <c r="F178" s="4">
        <f>Table2[[#This Row],[Số lượng ]]*Table2[[#This Row],[Giá bán]]</f>
        <v>8900000</v>
      </c>
      <c r="G178" s="2">
        <v>45394</v>
      </c>
      <c r="H178" s="1" t="s">
        <v>4</v>
      </c>
      <c r="I178" s="1" t="s">
        <v>16</v>
      </c>
      <c r="J178" s="1" t="s">
        <v>19</v>
      </c>
      <c r="K178" s="1">
        <f>WEEKNUM(Table2[[#This Row],[Date]])</f>
        <v>15</v>
      </c>
      <c r="L178" s="1">
        <f>MONTH(Table2[[#This Row],[Date]])</f>
        <v>4</v>
      </c>
    </row>
    <row r="179" spans="1:12" ht="29.4" thickBot="1" x14ac:dyDescent="0.35">
      <c r="A179" s="1" t="s">
        <v>483</v>
      </c>
      <c r="B179" s="1" t="s">
        <v>211</v>
      </c>
      <c r="C179" s="3">
        <v>990882505</v>
      </c>
      <c r="D179" s="5">
        <v>5290000</v>
      </c>
      <c r="E179" s="4">
        <v>4</v>
      </c>
      <c r="F179" s="4">
        <f>Table2[[#This Row],[Số lượng ]]*Table2[[#This Row],[Giá bán]]</f>
        <v>21160000</v>
      </c>
      <c r="G179" s="2">
        <v>45640</v>
      </c>
      <c r="H179" s="1" t="s">
        <v>4</v>
      </c>
      <c r="I179" s="1" t="s">
        <v>8</v>
      </c>
      <c r="J179" s="1" t="s">
        <v>27</v>
      </c>
      <c r="K179" s="1">
        <f>WEEKNUM(Table2[[#This Row],[Date]])</f>
        <v>50</v>
      </c>
      <c r="L179" s="1">
        <f>MONTH(Table2[[#This Row],[Date]])</f>
        <v>12</v>
      </c>
    </row>
    <row r="180" spans="1:12" ht="43.8" thickBot="1" x14ac:dyDescent="0.35">
      <c r="A180" s="1" t="s">
        <v>484</v>
      </c>
      <c r="B180" s="1" t="s">
        <v>212</v>
      </c>
      <c r="C180" s="3">
        <v>926944487</v>
      </c>
      <c r="D180" s="5">
        <v>890000</v>
      </c>
      <c r="E180" s="4">
        <v>3</v>
      </c>
      <c r="F180" s="4">
        <f>Table2[[#This Row],[Số lượng ]]*Table2[[#This Row],[Giá bán]]</f>
        <v>2670000</v>
      </c>
      <c r="G180" s="2">
        <v>45657</v>
      </c>
      <c r="H180" s="1" t="s">
        <v>7</v>
      </c>
      <c r="I180" s="1" t="s">
        <v>8</v>
      </c>
      <c r="J180" s="1" t="s">
        <v>33</v>
      </c>
      <c r="K180" s="1">
        <f>WEEKNUM(Table2[[#This Row],[Date]])</f>
        <v>53</v>
      </c>
      <c r="L180" s="1">
        <f>MONTH(Table2[[#This Row],[Date]])</f>
        <v>12</v>
      </c>
    </row>
    <row r="181" spans="1:12" ht="29.4" thickBot="1" x14ac:dyDescent="0.35">
      <c r="A181" s="1" t="s">
        <v>485</v>
      </c>
      <c r="B181" s="1" t="s">
        <v>133</v>
      </c>
      <c r="C181" s="3">
        <v>959070856</v>
      </c>
      <c r="D181" s="5">
        <v>190000</v>
      </c>
      <c r="E181" s="4">
        <v>5</v>
      </c>
      <c r="F181" s="4">
        <f>Table2[[#This Row],[Số lượng ]]*Table2[[#This Row],[Giá bán]]</f>
        <v>950000</v>
      </c>
      <c r="G181" s="2">
        <v>45424</v>
      </c>
      <c r="H181" s="1" t="s">
        <v>13</v>
      </c>
      <c r="I181" s="1" t="s">
        <v>8</v>
      </c>
      <c r="J181" s="1" t="s">
        <v>20</v>
      </c>
      <c r="K181" s="1">
        <f>WEEKNUM(Table2[[#This Row],[Date]])</f>
        <v>20</v>
      </c>
      <c r="L181" s="1">
        <f>MONTH(Table2[[#This Row],[Date]])</f>
        <v>5</v>
      </c>
    </row>
    <row r="182" spans="1:12" ht="43.8" thickBot="1" x14ac:dyDescent="0.35">
      <c r="A182" s="1" t="s">
        <v>486</v>
      </c>
      <c r="B182" s="1" t="s">
        <v>213</v>
      </c>
      <c r="C182" s="3">
        <v>989736043</v>
      </c>
      <c r="D182" s="5">
        <v>890000</v>
      </c>
      <c r="E182" s="4">
        <v>5</v>
      </c>
      <c r="F182" s="4">
        <f>Table2[[#This Row],[Số lượng ]]*Table2[[#This Row],[Giá bán]]</f>
        <v>4450000</v>
      </c>
      <c r="G182" s="2">
        <v>45639</v>
      </c>
      <c r="H182" s="1" t="s">
        <v>4</v>
      </c>
      <c r="I182" s="1" t="s">
        <v>8</v>
      </c>
      <c r="J182" s="1" t="s">
        <v>33</v>
      </c>
      <c r="K182" s="1">
        <f>WEEKNUM(Table2[[#This Row],[Date]])</f>
        <v>50</v>
      </c>
      <c r="L182" s="1">
        <f>MONTH(Table2[[#This Row],[Date]])</f>
        <v>12</v>
      </c>
    </row>
    <row r="183" spans="1:12" ht="29.4" thickBot="1" x14ac:dyDescent="0.35">
      <c r="A183" s="1" t="s">
        <v>487</v>
      </c>
      <c r="B183" s="1" t="s">
        <v>214</v>
      </c>
      <c r="C183" s="3">
        <v>951738753</v>
      </c>
      <c r="D183" s="5">
        <v>5290000</v>
      </c>
      <c r="E183" s="4">
        <v>3</v>
      </c>
      <c r="F183" s="4">
        <f>Table2[[#This Row],[Số lượng ]]*Table2[[#This Row],[Giá bán]]</f>
        <v>15870000</v>
      </c>
      <c r="G183" s="2">
        <v>45394</v>
      </c>
      <c r="H183" s="1" t="s">
        <v>13</v>
      </c>
      <c r="I183" s="1" t="s">
        <v>8</v>
      </c>
      <c r="J183" s="1" t="s">
        <v>27</v>
      </c>
      <c r="K183" s="1">
        <f>WEEKNUM(Table2[[#This Row],[Date]])</f>
        <v>15</v>
      </c>
      <c r="L183" s="1">
        <f>MONTH(Table2[[#This Row],[Date]])</f>
        <v>4</v>
      </c>
    </row>
    <row r="184" spans="1:12" ht="29.4" thickBot="1" x14ac:dyDescent="0.35">
      <c r="A184" s="1" t="s">
        <v>488</v>
      </c>
      <c r="B184" s="1" t="s">
        <v>215</v>
      </c>
      <c r="C184" s="3">
        <v>945966597</v>
      </c>
      <c r="D184" s="5">
        <v>25990000</v>
      </c>
      <c r="E184" s="4">
        <v>1</v>
      </c>
      <c r="F184" s="4">
        <f>Table2[[#This Row],[Số lượng ]]*Table2[[#This Row],[Giá bán]]</f>
        <v>25990000</v>
      </c>
      <c r="G184" s="2">
        <v>45639</v>
      </c>
      <c r="H184" s="1" t="s">
        <v>7</v>
      </c>
      <c r="I184" s="1" t="s">
        <v>5</v>
      </c>
      <c r="J184" s="1" t="s">
        <v>24</v>
      </c>
      <c r="K184" s="1">
        <f>WEEKNUM(Table2[[#This Row],[Date]])</f>
        <v>50</v>
      </c>
      <c r="L184" s="1">
        <f>MONTH(Table2[[#This Row],[Date]])</f>
        <v>12</v>
      </c>
    </row>
    <row r="185" spans="1:12" ht="29.4" thickBot="1" x14ac:dyDescent="0.35">
      <c r="A185" s="1" t="s">
        <v>489</v>
      </c>
      <c r="B185" s="1" t="s">
        <v>216</v>
      </c>
      <c r="C185" s="3">
        <v>921370793</v>
      </c>
      <c r="D185" s="5">
        <v>12500000</v>
      </c>
      <c r="E185" s="4">
        <v>2</v>
      </c>
      <c r="F185" s="4">
        <f>Table2[[#This Row],[Số lượng ]]*Table2[[#This Row],[Giá bán]]</f>
        <v>25000000</v>
      </c>
      <c r="G185" s="2">
        <v>45644</v>
      </c>
      <c r="H185" s="1" t="s">
        <v>4</v>
      </c>
      <c r="I185" s="1" t="s">
        <v>16</v>
      </c>
      <c r="J185" s="1" t="s">
        <v>18</v>
      </c>
      <c r="K185" s="1">
        <f>WEEKNUM(Table2[[#This Row],[Date]])</f>
        <v>51</v>
      </c>
      <c r="L185" s="1">
        <f>MONTH(Table2[[#This Row],[Date]])</f>
        <v>12</v>
      </c>
    </row>
    <row r="186" spans="1:12" ht="29.4" thickBot="1" x14ac:dyDescent="0.35">
      <c r="A186" s="1" t="s">
        <v>490</v>
      </c>
      <c r="B186" s="1" t="s">
        <v>217</v>
      </c>
      <c r="C186" s="3">
        <v>940097200</v>
      </c>
      <c r="D186" s="5">
        <v>18990000</v>
      </c>
      <c r="E186" s="4">
        <v>1</v>
      </c>
      <c r="F186" s="4">
        <f>Table2[[#This Row],[Số lượng ]]*Table2[[#This Row],[Giá bán]]</f>
        <v>18990000</v>
      </c>
      <c r="G186" s="2">
        <v>45485</v>
      </c>
      <c r="H186" s="1" t="s">
        <v>4</v>
      </c>
      <c r="I186" s="1" t="s">
        <v>5</v>
      </c>
      <c r="J186" s="1" t="s">
        <v>11</v>
      </c>
      <c r="K186" s="1">
        <f>WEEKNUM(Table2[[#This Row],[Date]])</f>
        <v>28</v>
      </c>
      <c r="L186" s="1">
        <f>MONTH(Table2[[#This Row],[Date]])</f>
        <v>7</v>
      </c>
    </row>
    <row r="187" spans="1:12" ht="29.4" thickBot="1" x14ac:dyDescent="0.35">
      <c r="A187" s="1" t="s">
        <v>491</v>
      </c>
      <c r="B187" s="1" t="s">
        <v>218</v>
      </c>
      <c r="C187" s="3">
        <v>995225343</v>
      </c>
      <c r="D187" s="5">
        <v>15990000</v>
      </c>
      <c r="E187" s="4">
        <v>1</v>
      </c>
      <c r="F187" s="4">
        <f>Table2[[#This Row],[Số lượng ]]*Table2[[#This Row],[Giá bán]]</f>
        <v>15990000</v>
      </c>
      <c r="G187" s="2">
        <v>45644</v>
      </c>
      <c r="H187" s="1" t="s">
        <v>7</v>
      </c>
      <c r="I187" s="1" t="s">
        <v>5</v>
      </c>
      <c r="J187" s="1" t="s">
        <v>14</v>
      </c>
      <c r="K187" s="1">
        <f>WEEKNUM(Table2[[#This Row],[Date]])</f>
        <v>51</v>
      </c>
      <c r="L187" s="1">
        <f>MONTH(Table2[[#This Row],[Date]])</f>
        <v>12</v>
      </c>
    </row>
    <row r="188" spans="1:12" ht="43.8" thickBot="1" x14ac:dyDescent="0.35">
      <c r="A188" s="1" t="s">
        <v>492</v>
      </c>
      <c r="B188" s="1" t="s">
        <v>219</v>
      </c>
      <c r="C188" s="3">
        <v>997219599</v>
      </c>
      <c r="D188" s="5">
        <v>28990000</v>
      </c>
      <c r="E188" s="4">
        <v>2</v>
      </c>
      <c r="F188" s="4">
        <f>Table2[[#This Row],[Số lượng ]]*Table2[[#This Row],[Giá bán]]</f>
        <v>57980000</v>
      </c>
      <c r="G188" s="2">
        <v>45654</v>
      </c>
      <c r="H188" s="1" t="s">
        <v>7</v>
      </c>
      <c r="I188" s="1" t="s">
        <v>5</v>
      </c>
      <c r="J188" s="1" t="s">
        <v>15</v>
      </c>
      <c r="K188" s="1">
        <f>WEEKNUM(Table2[[#This Row],[Date]])</f>
        <v>52</v>
      </c>
      <c r="L188" s="1">
        <f>MONTH(Table2[[#This Row],[Date]])</f>
        <v>12</v>
      </c>
    </row>
    <row r="189" spans="1:12" ht="29.4" thickBot="1" x14ac:dyDescent="0.35">
      <c r="A189" s="1" t="s">
        <v>493</v>
      </c>
      <c r="B189" s="1" t="s">
        <v>220</v>
      </c>
      <c r="C189" s="3">
        <v>994322033</v>
      </c>
      <c r="D189" s="5">
        <v>18990000</v>
      </c>
      <c r="E189" s="4">
        <v>1</v>
      </c>
      <c r="F189" s="4">
        <f>Table2[[#This Row],[Số lượng ]]*Table2[[#This Row],[Giá bán]]</f>
        <v>18990000</v>
      </c>
      <c r="G189" s="2">
        <v>45655</v>
      </c>
      <c r="H189" s="1" t="s">
        <v>13</v>
      </c>
      <c r="I189" s="1" t="s">
        <v>5</v>
      </c>
      <c r="J189" s="1" t="s">
        <v>11</v>
      </c>
      <c r="K189" s="1">
        <f>WEEKNUM(Table2[[#This Row],[Date]])</f>
        <v>53</v>
      </c>
      <c r="L189" s="1">
        <f>MONTH(Table2[[#This Row],[Date]])</f>
        <v>12</v>
      </c>
    </row>
    <row r="190" spans="1:12" ht="29.4" thickBot="1" x14ac:dyDescent="0.35">
      <c r="A190" s="1" t="s">
        <v>494</v>
      </c>
      <c r="B190" s="1" t="s">
        <v>221</v>
      </c>
      <c r="C190" s="3">
        <v>944349528</v>
      </c>
      <c r="D190" s="5">
        <v>18990000</v>
      </c>
      <c r="E190" s="4">
        <v>2</v>
      </c>
      <c r="F190" s="4">
        <f>Table2[[#This Row],[Số lượng ]]*Table2[[#This Row],[Giá bán]]</f>
        <v>37980000</v>
      </c>
      <c r="G190" s="2">
        <v>45653</v>
      </c>
      <c r="H190" s="1" t="s">
        <v>13</v>
      </c>
      <c r="I190" s="1" t="s">
        <v>5</v>
      </c>
      <c r="J190" s="1" t="s">
        <v>10</v>
      </c>
      <c r="K190" s="1">
        <f>WEEKNUM(Table2[[#This Row],[Date]])</f>
        <v>52</v>
      </c>
      <c r="L190" s="1">
        <f>MONTH(Table2[[#This Row],[Date]])</f>
        <v>12</v>
      </c>
    </row>
    <row r="191" spans="1:12" ht="43.8" thickBot="1" x14ac:dyDescent="0.35">
      <c r="A191" s="1" t="s">
        <v>495</v>
      </c>
      <c r="B191" s="1" t="s">
        <v>222</v>
      </c>
      <c r="C191" s="3">
        <v>961254050</v>
      </c>
      <c r="D191" s="5">
        <v>890000</v>
      </c>
      <c r="E191" s="4">
        <v>2</v>
      </c>
      <c r="F191" s="4">
        <f>Table2[[#This Row],[Số lượng ]]*Table2[[#This Row],[Giá bán]]</f>
        <v>1780000</v>
      </c>
      <c r="G191" s="2">
        <v>45643</v>
      </c>
      <c r="H191" s="1" t="s">
        <v>13</v>
      </c>
      <c r="I191" s="1" t="s">
        <v>8</v>
      </c>
      <c r="J191" s="1" t="s">
        <v>33</v>
      </c>
      <c r="K191" s="1">
        <f>WEEKNUM(Table2[[#This Row],[Date]])</f>
        <v>51</v>
      </c>
      <c r="L191" s="1">
        <f>MONTH(Table2[[#This Row],[Date]])</f>
        <v>12</v>
      </c>
    </row>
    <row r="192" spans="1:12" ht="29.4" thickBot="1" x14ac:dyDescent="0.35">
      <c r="A192" s="1" t="s">
        <v>496</v>
      </c>
      <c r="B192" s="1" t="s">
        <v>110</v>
      </c>
      <c r="C192" s="3">
        <v>972654864</v>
      </c>
      <c r="D192" s="5">
        <v>150000</v>
      </c>
      <c r="E192" s="4">
        <v>4</v>
      </c>
      <c r="F192" s="4">
        <f>Table2[[#This Row],[Số lượng ]]*Table2[[#This Row],[Giá bán]]</f>
        <v>600000</v>
      </c>
      <c r="G192" s="2">
        <v>45655</v>
      </c>
      <c r="H192" s="1" t="s">
        <v>7</v>
      </c>
      <c r="I192" s="1" t="s">
        <v>8</v>
      </c>
      <c r="J192" s="1" t="s">
        <v>25</v>
      </c>
      <c r="K192" s="1">
        <f>WEEKNUM(Table2[[#This Row],[Date]])</f>
        <v>53</v>
      </c>
      <c r="L192" s="1">
        <f>MONTH(Table2[[#This Row],[Date]])</f>
        <v>12</v>
      </c>
    </row>
    <row r="193" spans="1:12" ht="29.4" thickBot="1" x14ac:dyDescent="0.35">
      <c r="A193" s="1" t="s">
        <v>497</v>
      </c>
      <c r="B193" s="1" t="s">
        <v>216</v>
      </c>
      <c r="C193" s="3">
        <v>986384014</v>
      </c>
      <c r="D193" s="5">
        <v>12500000</v>
      </c>
      <c r="E193" s="4">
        <v>1</v>
      </c>
      <c r="F193" s="4">
        <f>Table2[[#This Row],[Số lượng ]]*Table2[[#This Row],[Giá bán]]</f>
        <v>12500000</v>
      </c>
      <c r="G193" s="2">
        <v>45639</v>
      </c>
      <c r="H193" s="1" t="s">
        <v>7</v>
      </c>
      <c r="I193" s="1" t="s">
        <v>16</v>
      </c>
      <c r="J193" s="1" t="s">
        <v>18</v>
      </c>
      <c r="K193" s="1">
        <f>WEEKNUM(Table2[[#This Row],[Date]])</f>
        <v>50</v>
      </c>
      <c r="L193" s="1">
        <f>MONTH(Table2[[#This Row],[Date]])</f>
        <v>12</v>
      </c>
    </row>
    <row r="194" spans="1:12" ht="29.4" thickBot="1" x14ac:dyDescent="0.35">
      <c r="A194" s="1" t="s">
        <v>498</v>
      </c>
      <c r="B194" s="1" t="s">
        <v>223</v>
      </c>
      <c r="C194" s="3">
        <v>915864298</v>
      </c>
      <c r="D194" s="5">
        <v>8900000</v>
      </c>
      <c r="E194" s="4">
        <v>1</v>
      </c>
      <c r="F194" s="4">
        <f>Table2[[#This Row],[Số lượng ]]*Table2[[#This Row],[Giá bán]]</f>
        <v>8900000</v>
      </c>
      <c r="G194" s="2">
        <v>45638</v>
      </c>
      <c r="H194" s="1" t="s">
        <v>4</v>
      </c>
      <c r="I194" s="1" t="s">
        <v>16</v>
      </c>
      <c r="J194" s="1" t="s">
        <v>19</v>
      </c>
      <c r="K194" s="1">
        <f>WEEKNUM(Table2[[#This Row],[Date]])</f>
        <v>50</v>
      </c>
      <c r="L194" s="1">
        <f>MONTH(Table2[[#This Row],[Date]])</f>
        <v>12</v>
      </c>
    </row>
    <row r="195" spans="1:12" ht="29.4" thickBot="1" x14ac:dyDescent="0.35">
      <c r="A195" s="1" t="s">
        <v>499</v>
      </c>
      <c r="B195" s="1" t="s">
        <v>224</v>
      </c>
      <c r="C195" s="3">
        <v>932329103</v>
      </c>
      <c r="D195" s="5">
        <v>5290000</v>
      </c>
      <c r="E195" s="4">
        <v>1</v>
      </c>
      <c r="F195" s="4">
        <f>Table2[[#This Row],[Số lượng ]]*Table2[[#This Row],[Giá bán]]</f>
        <v>5290000</v>
      </c>
      <c r="G195" s="2">
        <v>45577</v>
      </c>
      <c r="H195" s="1" t="s">
        <v>7</v>
      </c>
      <c r="I195" s="1" t="s">
        <v>8</v>
      </c>
      <c r="J195" s="1" t="s">
        <v>27</v>
      </c>
      <c r="K195" s="1">
        <f>WEEKNUM(Table2[[#This Row],[Date]])</f>
        <v>41</v>
      </c>
      <c r="L195" s="1">
        <f>MONTH(Table2[[#This Row],[Date]])</f>
        <v>10</v>
      </c>
    </row>
    <row r="196" spans="1:12" ht="29.4" thickBot="1" x14ac:dyDescent="0.35">
      <c r="A196" s="1" t="s">
        <v>500</v>
      </c>
      <c r="B196" s="1" t="s">
        <v>225</v>
      </c>
      <c r="C196" s="3">
        <v>939600202</v>
      </c>
      <c r="D196" s="5">
        <v>150000</v>
      </c>
      <c r="E196" s="4">
        <v>4</v>
      </c>
      <c r="F196" s="4">
        <f>Table2[[#This Row],[Số lượng ]]*Table2[[#This Row],[Giá bán]]</f>
        <v>600000</v>
      </c>
      <c r="G196" s="2">
        <v>45634</v>
      </c>
      <c r="H196" s="1" t="s">
        <v>7</v>
      </c>
      <c r="I196" s="1" t="s">
        <v>8</v>
      </c>
      <c r="J196" s="1" t="s">
        <v>25</v>
      </c>
      <c r="K196" s="1">
        <f>WEEKNUM(Table2[[#This Row],[Date]])</f>
        <v>50</v>
      </c>
      <c r="L196" s="1">
        <f>MONTH(Table2[[#This Row],[Date]])</f>
        <v>12</v>
      </c>
    </row>
    <row r="197" spans="1:12" ht="29.4" thickBot="1" x14ac:dyDescent="0.35">
      <c r="A197" s="1" t="s">
        <v>501</v>
      </c>
      <c r="B197" s="1" t="s">
        <v>226</v>
      </c>
      <c r="C197" s="3">
        <v>992631441</v>
      </c>
      <c r="D197" s="5">
        <v>8900000</v>
      </c>
      <c r="E197" s="4">
        <v>1</v>
      </c>
      <c r="F197" s="4">
        <f>Table2[[#This Row],[Số lượng ]]*Table2[[#This Row],[Giá bán]]</f>
        <v>8900000</v>
      </c>
      <c r="G197" s="2">
        <v>45657</v>
      </c>
      <c r="H197" s="1" t="s">
        <v>7</v>
      </c>
      <c r="I197" s="1" t="s">
        <v>16</v>
      </c>
      <c r="J197" s="1" t="s">
        <v>19</v>
      </c>
      <c r="K197" s="1">
        <f>WEEKNUM(Table2[[#This Row],[Date]])</f>
        <v>53</v>
      </c>
      <c r="L197" s="1">
        <f>MONTH(Table2[[#This Row],[Date]])</f>
        <v>12</v>
      </c>
    </row>
    <row r="198" spans="1:12" ht="29.4" thickBot="1" x14ac:dyDescent="0.35">
      <c r="A198" s="1" t="s">
        <v>502</v>
      </c>
      <c r="B198" s="1" t="s">
        <v>227</v>
      </c>
      <c r="C198" s="3">
        <v>948412328</v>
      </c>
      <c r="D198" s="5">
        <v>190000</v>
      </c>
      <c r="E198" s="4">
        <v>5</v>
      </c>
      <c r="F198" s="4">
        <f>Table2[[#This Row],[Số lượng ]]*Table2[[#This Row],[Giá bán]]</f>
        <v>950000</v>
      </c>
      <c r="G198" s="2">
        <v>45652</v>
      </c>
      <c r="H198" s="1" t="s">
        <v>13</v>
      </c>
      <c r="I198" s="1" t="s">
        <v>8</v>
      </c>
      <c r="J198" s="1" t="s">
        <v>20</v>
      </c>
      <c r="K198" s="1">
        <f>WEEKNUM(Table2[[#This Row],[Date]])</f>
        <v>52</v>
      </c>
      <c r="L198" s="1">
        <f>MONTH(Table2[[#This Row],[Date]])</f>
        <v>12</v>
      </c>
    </row>
    <row r="199" spans="1:12" ht="43.8" thickBot="1" x14ac:dyDescent="0.35">
      <c r="A199" s="1" t="s">
        <v>503</v>
      </c>
      <c r="B199" s="1" t="s">
        <v>228</v>
      </c>
      <c r="C199" s="3">
        <v>971707170</v>
      </c>
      <c r="D199" s="5">
        <v>28990000</v>
      </c>
      <c r="E199" s="4">
        <v>2</v>
      </c>
      <c r="F199" s="4">
        <f>Table2[[#This Row],[Số lượng ]]*Table2[[#This Row],[Giá bán]]</f>
        <v>57980000</v>
      </c>
      <c r="G199" s="2">
        <v>45654</v>
      </c>
      <c r="H199" s="1" t="s">
        <v>4</v>
      </c>
      <c r="I199" s="1" t="s">
        <v>5</v>
      </c>
      <c r="J199" s="1" t="s">
        <v>15</v>
      </c>
      <c r="K199" s="1">
        <f>WEEKNUM(Table2[[#This Row],[Date]])</f>
        <v>52</v>
      </c>
      <c r="L199" s="1">
        <f>MONTH(Table2[[#This Row],[Date]])</f>
        <v>12</v>
      </c>
    </row>
    <row r="200" spans="1:12" ht="29.4" thickBot="1" x14ac:dyDescent="0.35">
      <c r="A200" s="1" t="s">
        <v>504</v>
      </c>
      <c r="B200" s="1" t="s">
        <v>229</v>
      </c>
      <c r="C200" s="3">
        <v>941329612</v>
      </c>
      <c r="D200" s="5">
        <v>6990000</v>
      </c>
      <c r="E200" s="4">
        <v>1</v>
      </c>
      <c r="F200" s="4">
        <f>Table2[[#This Row],[Số lượng ]]*Table2[[#This Row],[Giá bán]]</f>
        <v>6990000</v>
      </c>
      <c r="G200" s="2">
        <v>45652</v>
      </c>
      <c r="H200" s="1" t="s">
        <v>13</v>
      </c>
      <c r="I200" s="1" t="s">
        <v>5</v>
      </c>
      <c r="J200" s="1" t="s">
        <v>28</v>
      </c>
      <c r="K200" s="1">
        <f>WEEKNUM(Table2[[#This Row],[Date]])</f>
        <v>52</v>
      </c>
      <c r="L200" s="1">
        <f>MONTH(Table2[[#This Row],[Date]])</f>
        <v>12</v>
      </c>
    </row>
    <row r="201" spans="1:12" ht="29.4" thickBot="1" x14ac:dyDescent="0.35">
      <c r="A201" s="1" t="s">
        <v>505</v>
      </c>
      <c r="B201" s="1" t="s">
        <v>230</v>
      </c>
      <c r="C201" s="3">
        <v>924508349</v>
      </c>
      <c r="D201" s="5">
        <v>8990000</v>
      </c>
      <c r="E201" s="4">
        <v>2</v>
      </c>
      <c r="F201" s="4">
        <f>Table2[[#This Row],[Số lượng ]]*Table2[[#This Row],[Giá bán]]</f>
        <v>17980000</v>
      </c>
      <c r="G201" s="2">
        <v>45654</v>
      </c>
      <c r="H201" s="1" t="s">
        <v>7</v>
      </c>
      <c r="I201" s="1" t="s">
        <v>16</v>
      </c>
      <c r="J201" s="1" t="s">
        <v>32</v>
      </c>
      <c r="K201" s="1">
        <f>WEEKNUM(Table2[[#This Row],[Date]])</f>
        <v>52</v>
      </c>
      <c r="L201" s="1">
        <f>MONTH(Table2[[#This Row],[Date]])</f>
        <v>12</v>
      </c>
    </row>
    <row r="202" spans="1:12" ht="29.4" thickBot="1" x14ac:dyDescent="0.35">
      <c r="A202" s="1" t="s">
        <v>506</v>
      </c>
      <c r="B202" s="1" t="s">
        <v>231</v>
      </c>
      <c r="C202" s="3">
        <v>944295247</v>
      </c>
      <c r="D202" s="5">
        <v>12500000</v>
      </c>
      <c r="E202" s="4">
        <v>1</v>
      </c>
      <c r="F202" s="4">
        <f>Table2[[#This Row],[Số lượng ]]*Table2[[#This Row],[Giá bán]]</f>
        <v>12500000</v>
      </c>
      <c r="G202" s="2">
        <v>45608</v>
      </c>
      <c r="H202" s="1" t="s">
        <v>13</v>
      </c>
      <c r="I202" s="1" t="s">
        <v>16</v>
      </c>
      <c r="J202" s="1" t="s">
        <v>18</v>
      </c>
      <c r="K202" s="1">
        <f>WEEKNUM(Table2[[#This Row],[Date]])</f>
        <v>46</v>
      </c>
      <c r="L202" s="1">
        <f>MONTH(Table2[[#This Row],[Date]])</f>
        <v>11</v>
      </c>
    </row>
    <row r="203" spans="1:12" ht="29.4" thickBot="1" x14ac:dyDescent="0.35">
      <c r="A203" s="1" t="s">
        <v>507</v>
      </c>
      <c r="B203" s="1" t="s">
        <v>232</v>
      </c>
      <c r="C203" s="3">
        <v>984227466</v>
      </c>
      <c r="D203" s="5">
        <v>8990000</v>
      </c>
      <c r="E203" s="4">
        <v>2</v>
      </c>
      <c r="F203" s="4">
        <f>Table2[[#This Row],[Số lượng ]]*Table2[[#This Row],[Giá bán]]</f>
        <v>17980000</v>
      </c>
      <c r="G203" s="2">
        <v>45640</v>
      </c>
      <c r="H203" s="1" t="s">
        <v>7</v>
      </c>
      <c r="I203" s="1" t="s">
        <v>16</v>
      </c>
      <c r="J203" s="1" t="s">
        <v>32</v>
      </c>
      <c r="K203" s="1">
        <f>WEEKNUM(Table2[[#This Row],[Date]])</f>
        <v>50</v>
      </c>
      <c r="L203" s="1">
        <f>MONTH(Table2[[#This Row],[Date]])</f>
        <v>12</v>
      </c>
    </row>
    <row r="204" spans="1:12" ht="29.4" thickBot="1" x14ac:dyDescent="0.35">
      <c r="A204" s="1" t="s">
        <v>508</v>
      </c>
      <c r="B204" s="1" t="s">
        <v>233</v>
      </c>
      <c r="C204" s="3">
        <v>966581473</v>
      </c>
      <c r="D204" s="5">
        <v>6990000</v>
      </c>
      <c r="E204" s="4">
        <v>2</v>
      </c>
      <c r="F204" s="4">
        <f>Table2[[#This Row],[Số lượng ]]*Table2[[#This Row],[Giá bán]]</f>
        <v>13980000</v>
      </c>
      <c r="G204" s="2">
        <v>45653</v>
      </c>
      <c r="H204" s="1" t="s">
        <v>13</v>
      </c>
      <c r="I204" s="1" t="s">
        <v>5</v>
      </c>
      <c r="J204" s="1" t="s">
        <v>28</v>
      </c>
      <c r="K204" s="1">
        <f>WEEKNUM(Table2[[#This Row],[Date]])</f>
        <v>52</v>
      </c>
      <c r="L204" s="1">
        <f>MONTH(Table2[[#This Row],[Date]])</f>
        <v>12</v>
      </c>
    </row>
    <row r="205" spans="1:12" ht="29.4" thickBot="1" x14ac:dyDescent="0.35">
      <c r="A205" s="1" t="s">
        <v>509</v>
      </c>
      <c r="B205" s="1" t="s">
        <v>234</v>
      </c>
      <c r="C205" s="3">
        <v>984040798</v>
      </c>
      <c r="D205" s="5">
        <v>25990000</v>
      </c>
      <c r="E205" s="4">
        <v>1</v>
      </c>
      <c r="F205" s="4">
        <f>Table2[[#This Row],[Số lượng ]]*Table2[[#This Row],[Giá bán]]</f>
        <v>25990000</v>
      </c>
      <c r="G205" s="2">
        <v>45646</v>
      </c>
      <c r="H205" s="1" t="s">
        <v>4</v>
      </c>
      <c r="I205" s="1" t="s">
        <v>5</v>
      </c>
      <c r="J205" s="1" t="s">
        <v>24</v>
      </c>
      <c r="K205" s="1">
        <f>WEEKNUM(Table2[[#This Row],[Date]])</f>
        <v>51</v>
      </c>
      <c r="L205" s="1">
        <f>MONTH(Table2[[#This Row],[Date]])</f>
        <v>12</v>
      </c>
    </row>
    <row r="206" spans="1:12" ht="43.8" thickBot="1" x14ac:dyDescent="0.35">
      <c r="A206" s="1" t="s">
        <v>510</v>
      </c>
      <c r="B206" s="1" t="s">
        <v>235</v>
      </c>
      <c r="C206" s="3">
        <v>963643924</v>
      </c>
      <c r="D206" s="5">
        <v>2990000</v>
      </c>
      <c r="E206" s="4">
        <v>3</v>
      </c>
      <c r="F206" s="4">
        <f>Table2[[#This Row],[Số lượng ]]*Table2[[#This Row],[Giá bán]]</f>
        <v>8970000</v>
      </c>
      <c r="G206" s="2">
        <v>45653</v>
      </c>
      <c r="H206" s="1" t="s">
        <v>7</v>
      </c>
      <c r="I206" s="1" t="s">
        <v>8</v>
      </c>
      <c r="J206" s="1" t="s">
        <v>22</v>
      </c>
      <c r="K206" s="1">
        <f>WEEKNUM(Table2[[#This Row],[Date]])</f>
        <v>52</v>
      </c>
      <c r="L206" s="1">
        <f>MONTH(Table2[[#This Row],[Date]])</f>
        <v>12</v>
      </c>
    </row>
    <row r="207" spans="1:12" ht="29.4" thickBot="1" x14ac:dyDescent="0.35">
      <c r="A207" s="1" t="s">
        <v>511</v>
      </c>
      <c r="B207" s="1" t="s">
        <v>236</v>
      </c>
      <c r="C207" s="3">
        <v>966519399</v>
      </c>
      <c r="D207" s="5">
        <v>12500000</v>
      </c>
      <c r="E207" s="4">
        <v>2</v>
      </c>
      <c r="F207" s="4">
        <f>Table2[[#This Row],[Số lượng ]]*Table2[[#This Row],[Giá bán]]</f>
        <v>25000000</v>
      </c>
      <c r="G207" s="2">
        <v>45642</v>
      </c>
      <c r="H207" s="1" t="s">
        <v>4</v>
      </c>
      <c r="I207" s="1" t="s">
        <v>16</v>
      </c>
      <c r="J207" s="1" t="s">
        <v>18</v>
      </c>
      <c r="K207" s="1">
        <f>WEEKNUM(Table2[[#This Row],[Date]])</f>
        <v>51</v>
      </c>
      <c r="L207" s="1">
        <f>MONTH(Table2[[#This Row],[Date]])</f>
        <v>12</v>
      </c>
    </row>
    <row r="208" spans="1:12" ht="29.4" thickBot="1" x14ac:dyDescent="0.35">
      <c r="A208" s="1" t="s">
        <v>512</v>
      </c>
      <c r="B208" s="1" t="s">
        <v>237</v>
      </c>
      <c r="C208" s="3">
        <v>919067690</v>
      </c>
      <c r="D208" s="5">
        <v>9990000</v>
      </c>
      <c r="E208" s="4">
        <v>1</v>
      </c>
      <c r="F208" s="4">
        <f>Table2[[#This Row],[Số lượng ]]*Table2[[#This Row],[Giá bán]]</f>
        <v>9990000</v>
      </c>
      <c r="G208" s="2">
        <v>45516</v>
      </c>
      <c r="H208" s="1" t="s">
        <v>7</v>
      </c>
      <c r="I208" s="1" t="s">
        <v>16</v>
      </c>
      <c r="J208" s="1" t="s">
        <v>23</v>
      </c>
      <c r="K208" s="1">
        <f>WEEKNUM(Table2[[#This Row],[Date]])</f>
        <v>33</v>
      </c>
      <c r="L208" s="1">
        <f>MONTH(Table2[[#This Row],[Date]])</f>
        <v>8</v>
      </c>
    </row>
    <row r="209" spans="1:12" ht="58.2" thickBot="1" x14ac:dyDescent="0.35">
      <c r="A209" s="1" t="s">
        <v>513</v>
      </c>
      <c r="B209" s="1" t="s">
        <v>238</v>
      </c>
      <c r="C209" s="3">
        <v>917849494</v>
      </c>
      <c r="D209" s="5">
        <v>280000</v>
      </c>
      <c r="E209" s="4">
        <v>1</v>
      </c>
      <c r="F209" s="4">
        <f>Table2[[#This Row],[Số lượng ]]*Table2[[#This Row],[Giá bán]]</f>
        <v>280000</v>
      </c>
      <c r="G209" s="2">
        <v>45650</v>
      </c>
      <c r="H209" s="1" t="s">
        <v>13</v>
      </c>
      <c r="I209" s="1" t="s">
        <v>8</v>
      </c>
      <c r="J209" s="1" t="s">
        <v>30</v>
      </c>
      <c r="K209" s="1">
        <f>WEEKNUM(Table2[[#This Row],[Date]])</f>
        <v>52</v>
      </c>
      <c r="L209" s="1">
        <f>MONTH(Table2[[#This Row],[Date]])</f>
        <v>12</v>
      </c>
    </row>
    <row r="210" spans="1:12" ht="29.4" thickBot="1" x14ac:dyDescent="0.35">
      <c r="A210" s="1" t="s">
        <v>514</v>
      </c>
      <c r="B210" s="1" t="s">
        <v>239</v>
      </c>
      <c r="C210" s="3">
        <v>929776801</v>
      </c>
      <c r="D210" s="5">
        <v>8900000</v>
      </c>
      <c r="E210" s="4">
        <v>2</v>
      </c>
      <c r="F210" s="4">
        <f>Table2[[#This Row],[Số lượng ]]*Table2[[#This Row],[Giá bán]]</f>
        <v>17800000</v>
      </c>
      <c r="G210" s="2">
        <v>45363</v>
      </c>
      <c r="H210" s="1" t="s">
        <v>7</v>
      </c>
      <c r="I210" s="1" t="s">
        <v>16</v>
      </c>
      <c r="J210" s="1" t="s">
        <v>19</v>
      </c>
      <c r="K210" s="1">
        <f>WEEKNUM(Table2[[#This Row],[Date]])</f>
        <v>11</v>
      </c>
      <c r="L210" s="1">
        <f>MONTH(Table2[[#This Row],[Date]])</f>
        <v>3</v>
      </c>
    </row>
    <row r="211" spans="1:12" ht="29.4" thickBot="1" x14ac:dyDescent="0.35">
      <c r="A211" s="1" t="s">
        <v>515</v>
      </c>
      <c r="B211" s="1" t="s">
        <v>240</v>
      </c>
      <c r="C211" s="3">
        <v>916533225</v>
      </c>
      <c r="D211" s="5">
        <v>9990000</v>
      </c>
      <c r="E211" s="4">
        <v>2</v>
      </c>
      <c r="F211" s="4">
        <f>Table2[[#This Row],[Số lượng ]]*Table2[[#This Row],[Giá bán]]</f>
        <v>19980000</v>
      </c>
      <c r="G211" s="2">
        <v>45650</v>
      </c>
      <c r="H211" s="1" t="s">
        <v>13</v>
      </c>
      <c r="I211" s="1" t="s">
        <v>5</v>
      </c>
      <c r="J211" s="1" t="s">
        <v>6</v>
      </c>
      <c r="K211" s="1">
        <f>WEEKNUM(Table2[[#This Row],[Date]])</f>
        <v>52</v>
      </c>
      <c r="L211" s="1">
        <f>MONTH(Table2[[#This Row],[Date]])</f>
        <v>12</v>
      </c>
    </row>
    <row r="212" spans="1:12" ht="29.4" thickBot="1" x14ac:dyDescent="0.35">
      <c r="A212" s="1" t="s">
        <v>516</v>
      </c>
      <c r="B212" s="1" t="s">
        <v>241</v>
      </c>
      <c r="C212" s="3">
        <v>956323191</v>
      </c>
      <c r="D212" s="5">
        <v>190000</v>
      </c>
      <c r="E212" s="4">
        <v>3</v>
      </c>
      <c r="F212" s="4">
        <f>Table2[[#This Row],[Số lượng ]]*Table2[[#This Row],[Giá bán]]</f>
        <v>570000</v>
      </c>
      <c r="G212" s="2">
        <v>45652</v>
      </c>
      <c r="H212" s="1" t="s">
        <v>4</v>
      </c>
      <c r="I212" s="1" t="s">
        <v>8</v>
      </c>
      <c r="J212" s="1" t="s">
        <v>20</v>
      </c>
      <c r="K212" s="1">
        <f>WEEKNUM(Table2[[#This Row],[Date]])</f>
        <v>52</v>
      </c>
      <c r="L212" s="1">
        <f>MONTH(Table2[[#This Row],[Date]])</f>
        <v>12</v>
      </c>
    </row>
    <row r="213" spans="1:12" ht="29.4" thickBot="1" x14ac:dyDescent="0.35">
      <c r="A213" s="1" t="s">
        <v>517</v>
      </c>
      <c r="B213" s="1" t="s">
        <v>242</v>
      </c>
      <c r="C213" s="3">
        <v>951374957</v>
      </c>
      <c r="D213" s="5">
        <v>350000</v>
      </c>
      <c r="E213" s="4">
        <v>1</v>
      </c>
      <c r="F213" s="4">
        <f>Table2[[#This Row],[Số lượng ]]*Table2[[#This Row],[Giá bán]]</f>
        <v>350000</v>
      </c>
      <c r="G213" s="2">
        <v>45638</v>
      </c>
      <c r="H213" s="1" t="s">
        <v>7</v>
      </c>
      <c r="I213" s="1" t="s">
        <v>8</v>
      </c>
      <c r="J213" s="1" t="s">
        <v>9</v>
      </c>
      <c r="K213" s="1">
        <f>WEEKNUM(Table2[[#This Row],[Date]])</f>
        <v>50</v>
      </c>
      <c r="L213" s="1">
        <f>MONTH(Table2[[#This Row],[Date]])</f>
        <v>12</v>
      </c>
    </row>
    <row r="214" spans="1:12" ht="29.4" thickBot="1" x14ac:dyDescent="0.35">
      <c r="A214" s="1" t="s">
        <v>518</v>
      </c>
      <c r="B214" s="1" t="s">
        <v>243</v>
      </c>
      <c r="C214" s="3">
        <v>919768947</v>
      </c>
      <c r="D214" s="5">
        <v>18990000</v>
      </c>
      <c r="E214" s="4">
        <v>1</v>
      </c>
      <c r="F214" s="4">
        <f>Table2[[#This Row],[Số lượng ]]*Table2[[#This Row],[Giá bán]]</f>
        <v>18990000</v>
      </c>
      <c r="G214" s="2">
        <v>45652</v>
      </c>
      <c r="H214" s="1" t="s">
        <v>7</v>
      </c>
      <c r="I214" s="1" t="s">
        <v>5</v>
      </c>
      <c r="J214" s="1" t="s">
        <v>10</v>
      </c>
      <c r="K214" s="1">
        <f>WEEKNUM(Table2[[#This Row],[Date]])</f>
        <v>52</v>
      </c>
      <c r="L214" s="1">
        <f>MONTH(Table2[[#This Row],[Date]])</f>
        <v>12</v>
      </c>
    </row>
    <row r="215" spans="1:12" ht="29.4" thickBot="1" x14ac:dyDescent="0.35">
      <c r="A215" s="1" t="s">
        <v>519</v>
      </c>
      <c r="B215" s="1" t="s">
        <v>244</v>
      </c>
      <c r="C215" s="3">
        <v>954699966</v>
      </c>
      <c r="D215" s="5">
        <v>150000</v>
      </c>
      <c r="E215" s="4">
        <v>2</v>
      </c>
      <c r="F215" s="4">
        <f>Table2[[#This Row],[Số lượng ]]*Table2[[#This Row],[Giá bán]]</f>
        <v>300000</v>
      </c>
      <c r="G215" s="2">
        <v>45643</v>
      </c>
      <c r="H215" s="1" t="s">
        <v>13</v>
      </c>
      <c r="I215" s="1" t="s">
        <v>8</v>
      </c>
      <c r="J215" s="1" t="s">
        <v>25</v>
      </c>
      <c r="K215" s="1">
        <f>WEEKNUM(Table2[[#This Row],[Date]])</f>
        <v>51</v>
      </c>
      <c r="L215" s="1">
        <f>MONTH(Table2[[#This Row],[Date]])</f>
        <v>12</v>
      </c>
    </row>
    <row r="216" spans="1:12" ht="29.4" thickBot="1" x14ac:dyDescent="0.35">
      <c r="A216" s="1" t="s">
        <v>520</v>
      </c>
      <c r="B216" s="1" t="s">
        <v>245</v>
      </c>
      <c r="C216" s="3">
        <v>990099897</v>
      </c>
      <c r="D216" s="5">
        <v>12500000</v>
      </c>
      <c r="E216" s="4">
        <v>2</v>
      </c>
      <c r="F216" s="4">
        <f>Table2[[#This Row],[Số lượng ]]*Table2[[#This Row],[Giá bán]]</f>
        <v>25000000</v>
      </c>
      <c r="G216" s="2">
        <v>45394</v>
      </c>
      <c r="H216" s="1" t="s">
        <v>7</v>
      </c>
      <c r="I216" s="1" t="s">
        <v>16</v>
      </c>
      <c r="J216" s="1" t="s">
        <v>18</v>
      </c>
      <c r="K216" s="1">
        <f>WEEKNUM(Table2[[#This Row],[Date]])</f>
        <v>15</v>
      </c>
      <c r="L216" s="1">
        <f>MONTH(Table2[[#This Row],[Date]])</f>
        <v>4</v>
      </c>
    </row>
    <row r="217" spans="1:12" ht="29.4" thickBot="1" x14ac:dyDescent="0.35">
      <c r="A217" s="1" t="s">
        <v>521</v>
      </c>
      <c r="B217" s="1" t="s">
        <v>246</v>
      </c>
      <c r="C217" s="3">
        <v>998550256</v>
      </c>
      <c r="D217" s="5">
        <v>150000</v>
      </c>
      <c r="E217" s="4">
        <v>2</v>
      </c>
      <c r="F217" s="4">
        <f>Table2[[#This Row],[Số lượng ]]*Table2[[#This Row],[Giá bán]]</f>
        <v>300000</v>
      </c>
      <c r="G217" s="2">
        <v>45657</v>
      </c>
      <c r="H217" s="1" t="s">
        <v>4</v>
      </c>
      <c r="I217" s="1" t="s">
        <v>8</v>
      </c>
      <c r="J217" s="1" t="s">
        <v>25</v>
      </c>
      <c r="K217" s="1">
        <f>WEEKNUM(Table2[[#This Row],[Date]])</f>
        <v>53</v>
      </c>
      <c r="L217" s="1">
        <f>MONTH(Table2[[#This Row],[Date]])</f>
        <v>12</v>
      </c>
    </row>
    <row r="218" spans="1:12" ht="29.4" thickBot="1" x14ac:dyDescent="0.35">
      <c r="A218" s="1" t="s">
        <v>522</v>
      </c>
      <c r="B218" s="1" t="s">
        <v>247</v>
      </c>
      <c r="C218" s="3">
        <v>969421007</v>
      </c>
      <c r="D218" s="5">
        <v>12500000</v>
      </c>
      <c r="E218" s="4">
        <v>2</v>
      </c>
      <c r="F218" s="4">
        <f>Table2[[#This Row],[Số lượng ]]*Table2[[#This Row],[Giá bán]]</f>
        <v>25000000</v>
      </c>
      <c r="G218" s="2">
        <v>45654</v>
      </c>
      <c r="H218" s="1" t="s">
        <v>13</v>
      </c>
      <c r="I218" s="1" t="s">
        <v>16</v>
      </c>
      <c r="J218" s="1" t="s">
        <v>18</v>
      </c>
      <c r="K218" s="1">
        <f>WEEKNUM(Table2[[#This Row],[Date]])</f>
        <v>52</v>
      </c>
      <c r="L218" s="1">
        <f>MONTH(Table2[[#This Row],[Date]])</f>
        <v>12</v>
      </c>
    </row>
    <row r="219" spans="1:12" ht="29.4" thickBot="1" x14ac:dyDescent="0.35">
      <c r="A219" s="1" t="s">
        <v>523</v>
      </c>
      <c r="B219" s="1" t="s">
        <v>248</v>
      </c>
      <c r="C219" s="3">
        <v>973280554</v>
      </c>
      <c r="D219" s="5">
        <v>12500000</v>
      </c>
      <c r="E219" s="4">
        <v>2</v>
      </c>
      <c r="F219" s="4">
        <f>Table2[[#This Row],[Số lượng ]]*Table2[[#This Row],[Giá bán]]</f>
        <v>25000000</v>
      </c>
      <c r="G219" s="2">
        <v>45646</v>
      </c>
      <c r="H219" s="1" t="s">
        <v>13</v>
      </c>
      <c r="I219" s="1" t="s">
        <v>5</v>
      </c>
      <c r="J219" s="1" t="s">
        <v>29</v>
      </c>
      <c r="K219" s="1">
        <f>WEEKNUM(Table2[[#This Row],[Date]])</f>
        <v>51</v>
      </c>
      <c r="L219" s="1">
        <f>MONTH(Table2[[#This Row],[Date]])</f>
        <v>12</v>
      </c>
    </row>
    <row r="220" spans="1:12" ht="29.4" thickBot="1" x14ac:dyDescent="0.35">
      <c r="A220" s="1" t="s">
        <v>524</v>
      </c>
      <c r="B220" s="1" t="s">
        <v>249</v>
      </c>
      <c r="C220" s="3">
        <v>935074182</v>
      </c>
      <c r="D220" s="5">
        <v>150000</v>
      </c>
      <c r="E220" s="4">
        <v>3</v>
      </c>
      <c r="F220" s="4">
        <f>Table2[[#This Row],[Số lượng ]]*Table2[[#This Row],[Giá bán]]</f>
        <v>450000</v>
      </c>
      <c r="G220" s="2">
        <v>45649</v>
      </c>
      <c r="H220" s="1" t="s">
        <v>13</v>
      </c>
      <c r="I220" s="1" t="s">
        <v>8</v>
      </c>
      <c r="J220" s="1" t="s">
        <v>25</v>
      </c>
      <c r="K220" s="1">
        <f>WEEKNUM(Table2[[#This Row],[Date]])</f>
        <v>52</v>
      </c>
      <c r="L220" s="1">
        <f>MONTH(Table2[[#This Row],[Date]])</f>
        <v>12</v>
      </c>
    </row>
    <row r="221" spans="1:12" ht="29.4" thickBot="1" x14ac:dyDescent="0.35">
      <c r="A221" s="1" t="s">
        <v>525</v>
      </c>
      <c r="B221" s="1" t="s">
        <v>250</v>
      </c>
      <c r="C221" s="3">
        <v>946578001</v>
      </c>
      <c r="D221" s="5">
        <v>15990000</v>
      </c>
      <c r="E221" s="4">
        <v>2</v>
      </c>
      <c r="F221" s="4">
        <f>Table2[[#This Row],[Số lượng ]]*Table2[[#This Row],[Giá bán]]</f>
        <v>31980000</v>
      </c>
      <c r="G221" s="2">
        <v>45635</v>
      </c>
      <c r="H221" s="1" t="s">
        <v>13</v>
      </c>
      <c r="I221" s="1" t="s">
        <v>5</v>
      </c>
      <c r="J221" s="1" t="s">
        <v>14</v>
      </c>
      <c r="K221" s="1">
        <f>WEEKNUM(Table2[[#This Row],[Date]])</f>
        <v>50</v>
      </c>
      <c r="L221" s="1">
        <f>MONTH(Table2[[#This Row],[Date]])</f>
        <v>12</v>
      </c>
    </row>
    <row r="222" spans="1:12" ht="43.8" thickBot="1" x14ac:dyDescent="0.35">
      <c r="A222" s="1" t="s">
        <v>526</v>
      </c>
      <c r="B222" s="1" t="s">
        <v>251</v>
      </c>
      <c r="C222" s="3">
        <v>943528453</v>
      </c>
      <c r="D222" s="5">
        <v>28990000</v>
      </c>
      <c r="E222" s="4">
        <v>1</v>
      </c>
      <c r="F222" s="4">
        <f>Table2[[#This Row],[Số lượng ]]*Table2[[#This Row],[Giá bán]]</f>
        <v>28990000</v>
      </c>
      <c r="G222" s="2">
        <v>45641</v>
      </c>
      <c r="H222" s="1" t="s">
        <v>4</v>
      </c>
      <c r="I222" s="1" t="s">
        <v>5</v>
      </c>
      <c r="J222" s="1" t="s">
        <v>15</v>
      </c>
      <c r="K222" s="1">
        <f>WEEKNUM(Table2[[#This Row],[Date]])</f>
        <v>51</v>
      </c>
      <c r="L222" s="1">
        <f>MONTH(Table2[[#This Row],[Date]])</f>
        <v>12</v>
      </c>
    </row>
    <row r="223" spans="1:12" ht="29.4" thickBot="1" x14ac:dyDescent="0.35">
      <c r="A223" s="1" t="s">
        <v>527</v>
      </c>
      <c r="B223" s="1" t="s">
        <v>252</v>
      </c>
      <c r="C223" s="3">
        <v>919208698</v>
      </c>
      <c r="D223" s="5">
        <v>190000</v>
      </c>
      <c r="E223" s="4">
        <v>5</v>
      </c>
      <c r="F223" s="4">
        <f>Table2[[#This Row],[Số lượng ]]*Table2[[#This Row],[Giá bán]]</f>
        <v>950000</v>
      </c>
      <c r="G223" s="2">
        <v>45644</v>
      </c>
      <c r="H223" s="1" t="s">
        <v>13</v>
      </c>
      <c r="I223" s="1" t="s">
        <v>8</v>
      </c>
      <c r="J223" s="1" t="s">
        <v>20</v>
      </c>
      <c r="K223" s="1">
        <f>WEEKNUM(Table2[[#This Row],[Date]])</f>
        <v>51</v>
      </c>
      <c r="L223" s="1">
        <f>MONTH(Table2[[#This Row],[Date]])</f>
        <v>12</v>
      </c>
    </row>
    <row r="224" spans="1:12" ht="43.8" thickBot="1" x14ac:dyDescent="0.35">
      <c r="A224" s="1" t="s">
        <v>528</v>
      </c>
      <c r="B224" s="1" t="s">
        <v>253</v>
      </c>
      <c r="C224" s="3">
        <v>929228089</v>
      </c>
      <c r="D224" s="5">
        <v>2990000</v>
      </c>
      <c r="E224" s="4">
        <v>4</v>
      </c>
      <c r="F224" s="4">
        <f>Table2[[#This Row],[Số lượng ]]*Table2[[#This Row],[Giá bán]]</f>
        <v>11960000</v>
      </c>
      <c r="G224" s="2">
        <v>45643</v>
      </c>
      <c r="H224" s="1" t="s">
        <v>4</v>
      </c>
      <c r="I224" s="1" t="s">
        <v>8</v>
      </c>
      <c r="J224" s="1" t="s">
        <v>22</v>
      </c>
      <c r="K224" s="1">
        <f>WEEKNUM(Table2[[#This Row],[Date]])</f>
        <v>51</v>
      </c>
      <c r="L224" s="1">
        <f>MONTH(Table2[[#This Row],[Date]])</f>
        <v>12</v>
      </c>
    </row>
    <row r="225" spans="1:12" ht="29.4" thickBot="1" x14ac:dyDescent="0.35">
      <c r="A225" s="1" t="s">
        <v>529</v>
      </c>
      <c r="B225" s="1" t="s">
        <v>254</v>
      </c>
      <c r="C225" s="3">
        <v>924524825</v>
      </c>
      <c r="D225" s="5">
        <v>9990000</v>
      </c>
      <c r="E225" s="4">
        <v>2</v>
      </c>
      <c r="F225" s="4">
        <f>Table2[[#This Row],[Số lượng ]]*Table2[[#This Row],[Giá bán]]</f>
        <v>19980000</v>
      </c>
      <c r="G225" s="2">
        <v>45654</v>
      </c>
      <c r="H225" s="1" t="s">
        <v>4</v>
      </c>
      <c r="I225" s="1" t="s">
        <v>16</v>
      </c>
      <c r="J225" s="1" t="s">
        <v>23</v>
      </c>
      <c r="K225" s="1">
        <f>WEEKNUM(Table2[[#This Row],[Date]])</f>
        <v>52</v>
      </c>
      <c r="L225" s="1">
        <f>MONTH(Table2[[#This Row],[Date]])</f>
        <v>12</v>
      </c>
    </row>
    <row r="226" spans="1:12" ht="29.4" thickBot="1" x14ac:dyDescent="0.35">
      <c r="A226" s="1" t="s">
        <v>530</v>
      </c>
      <c r="B226" s="1" t="s">
        <v>255</v>
      </c>
      <c r="C226" s="3">
        <v>939372360</v>
      </c>
      <c r="D226" s="5">
        <v>15990000</v>
      </c>
      <c r="E226" s="4">
        <v>2</v>
      </c>
      <c r="F226" s="4">
        <f>Table2[[#This Row],[Số lượng ]]*Table2[[#This Row],[Giá bán]]</f>
        <v>31980000</v>
      </c>
      <c r="G226" s="2">
        <v>45652</v>
      </c>
      <c r="H226" s="1" t="s">
        <v>13</v>
      </c>
      <c r="I226" s="1" t="s">
        <v>5</v>
      </c>
      <c r="J226" s="1" t="s">
        <v>14</v>
      </c>
      <c r="K226" s="1">
        <f>WEEKNUM(Table2[[#This Row],[Date]])</f>
        <v>52</v>
      </c>
      <c r="L226" s="1">
        <f>MONTH(Table2[[#This Row],[Date]])</f>
        <v>12</v>
      </c>
    </row>
    <row r="227" spans="1:12" ht="29.4" thickBot="1" x14ac:dyDescent="0.35">
      <c r="A227" s="1" t="s">
        <v>531</v>
      </c>
      <c r="B227" s="1" t="s">
        <v>256</v>
      </c>
      <c r="C227" s="3">
        <v>997742922</v>
      </c>
      <c r="D227" s="5">
        <v>3990000</v>
      </c>
      <c r="E227" s="4">
        <v>1</v>
      </c>
      <c r="F227" s="4">
        <f>Table2[[#This Row],[Số lượng ]]*Table2[[#This Row],[Giá bán]]</f>
        <v>3990000</v>
      </c>
      <c r="G227" s="2">
        <v>45651</v>
      </c>
      <c r="H227" s="1" t="s">
        <v>4</v>
      </c>
      <c r="I227" s="1" t="s">
        <v>8</v>
      </c>
      <c r="J227" s="1" t="s">
        <v>26</v>
      </c>
      <c r="K227" s="1">
        <f>WEEKNUM(Table2[[#This Row],[Date]])</f>
        <v>52</v>
      </c>
      <c r="L227" s="1">
        <f>MONTH(Table2[[#This Row],[Date]])</f>
        <v>12</v>
      </c>
    </row>
    <row r="228" spans="1:12" ht="29.4" thickBot="1" x14ac:dyDescent="0.35">
      <c r="A228" s="1" t="s">
        <v>532</v>
      </c>
      <c r="B228" s="1" t="s">
        <v>257</v>
      </c>
      <c r="C228" s="3">
        <v>925659979</v>
      </c>
      <c r="D228" s="5">
        <v>25990000</v>
      </c>
      <c r="E228" s="4">
        <v>2</v>
      </c>
      <c r="F228" s="4">
        <f>Table2[[#This Row],[Số lượng ]]*Table2[[#This Row],[Giá bán]]</f>
        <v>51980000</v>
      </c>
      <c r="G228" s="2">
        <v>45334</v>
      </c>
      <c r="H228" s="1" t="s">
        <v>13</v>
      </c>
      <c r="I228" s="1" t="s">
        <v>5</v>
      </c>
      <c r="J228" s="1" t="s">
        <v>24</v>
      </c>
      <c r="K228" s="1">
        <f>WEEKNUM(Table2[[#This Row],[Date]])</f>
        <v>7</v>
      </c>
      <c r="L228" s="1">
        <f>MONTH(Table2[[#This Row],[Date]])</f>
        <v>2</v>
      </c>
    </row>
    <row r="229" spans="1:12" ht="43.8" thickBot="1" x14ac:dyDescent="0.35">
      <c r="A229" s="1" t="s">
        <v>533</v>
      </c>
      <c r="B229" s="1" t="s">
        <v>258</v>
      </c>
      <c r="C229" s="3">
        <v>913471527</v>
      </c>
      <c r="D229" s="5">
        <v>28990000</v>
      </c>
      <c r="E229" s="4">
        <v>1</v>
      </c>
      <c r="F229" s="4">
        <f>Table2[[#This Row],[Số lượng ]]*Table2[[#This Row],[Giá bán]]</f>
        <v>28990000</v>
      </c>
      <c r="G229" s="2">
        <v>45516</v>
      </c>
      <c r="H229" s="1" t="s">
        <v>4</v>
      </c>
      <c r="I229" s="1" t="s">
        <v>5</v>
      </c>
      <c r="J229" s="1" t="s">
        <v>15</v>
      </c>
      <c r="K229" s="1">
        <f>WEEKNUM(Table2[[#This Row],[Date]])</f>
        <v>33</v>
      </c>
      <c r="L229" s="1">
        <f>MONTH(Table2[[#This Row],[Date]])</f>
        <v>8</v>
      </c>
    </row>
    <row r="230" spans="1:12" ht="29.4" thickBot="1" x14ac:dyDescent="0.35">
      <c r="A230" s="1" t="s">
        <v>534</v>
      </c>
      <c r="B230" s="1" t="s">
        <v>259</v>
      </c>
      <c r="C230" s="3">
        <v>918770247</v>
      </c>
      <c r="D230" s="5">
        <v>8990000</v>
      </c>
      <c r="E230" s="4">
        <v>1</v>
      </c>
      <c r="F230" s="4">
        <f>Table2[[#This Row],[Số lượng ]]*Table2[[#This Row],[Giá bán]]</f>
        <v>8990000</v>
      </c>
      <c r="G230" s="2">
        <v>45642</v>
      </c>
      <c r="H230" s="1" t="s">
        <v>4</v>
      </c>
      <c r="I230" s="1" t="s">
        <v>16</v>
      </c>
      <c r="J230" s="1" t="s">
        <v>32</v>
      </c>
      <c r="K230" s="1">
        <f>WEEKNUM(Table2[[#This Row],[Date]])</f>
        <v>51</v>
      </c>
      <c r="L230" s="1">
        <f>MONTH(Table2[[#This Row],[Date]])</f>
        <v>12</v>
      </c>
    </row>
    <row r="231" spans="1:12" ht="29.4" thickBot="1" x14ac:dyDescent="0.35">
      <c r="A231" s="1" t="s">
        <v>535</v>
      </c>
      <c r="B231" s="1" t="s">
        <v>260</v>
      </c>
      <c r="C231" s="3">
        <v>964807553</v>
      </c>
      <c r="D231" s="5">
        <v>18490000</v>
      </c>
      <c r="E231" s="4">
        <v>1</v>
      </c>
      <c r="F231" s="4">
        <f>Table2[[#This Row],[Số lượng ]]*Table2[[#This Row],[Giá bán]]</f>
        <v>18490000</v>
      </c>
      <c r="G231" s="2">
        <v>45608</v>
      </c>
      <c r="H231" s="1" t="s">
        <v>4</v>
      </c>
      <c r="I231" s="1" t="s">
        <v>16</v>
      </c>
      <c r="J231" s="1" t="s">
        <v>17</v>
      </c>
      <c r="K231" s="1">
        <f>WEEKNUM(Table2[[#This Row],[Date]])</f>
        <v>46</v>
      </c>
      <c r="L231" s="1">
        <f>MONTH(Table2[[#This Row],[Date]])</f>
        <v>11</v>
      </c>
    </row>
    <row r="232" spans="1:12" ht="58.2" thickBot="1" x14ac:dyDescent="0.35">
      <c r="A232" s="1" t="s">
        <v>536</v>
      </c>
      <c r="B232" s="1" t="s">
        <v>261</v>
      </c>
      <c r="C232" s="3">
        <v>969302158</v>
      </c>
      <c r="D232" s="5">
        <v>450000</v>
      </c>
      <c r="E232" s="4">
        <v>5</v>
      </c>
      <c r="F232" s="4">
        <f>Table2[[#This Row],[Số lượng ]]*Table2[[#This Row],[Giá bán]]</f>
        <v>2250000</v>
      </c>
      <c r="G232" s="2">
        <v>45649</v>
      </c>
      <c r="H232" s="1" t="s">
        <v>4</v>
      </c>
      <c r="I232" s="1" t="s">
        <v>8</v>
      </c>
      <c r="J232" s="1" t="s">
        <v>21</v>
      </c>
      <c r="K232" s="1">
        <f>WEEKNUM(Table2[[#This Row],[Date]])</f>
        <v>52</v>
      </c>
      <c r="L232" s="1">
        <f>MONTH(Table2[[#This Row],[Date]])</f>
        <v>12</v>
      </c>
    </row>
    <row r="233" spans="1:12" ht="29.4" thickBot="1" x14ac:dyDescent="0.35">
      <c r="A233" s="1" t="s">
        <v>537</v>
      </c>
      <c r="B233" s="1" t="s">
        <v>262</v>
      </c>
      <c r="C233" s="3">
        <v>926460116</v>
      </c>
      <c r="D233" s="5">
        <v>25990000</v>
      </c>
      <c r="E233" s="4">
        <v>2</v>
      </c>
      <c r="F233" s="4">
        <f>Table2[[#This Row],[Số lượng ]]*Table2[[#This Row],[Giá bán]]</f>
        <v>51980000</v>
      </c>
      <c r="G233" s="2">
        <v>45654</v>
      </c>
      <c r="H233" s="1" t="s">
        <v>7</v>
      </c>
      <c r="I233" s="1" t="s">
        <v>5</v>
      </c>
      <c r="J233" s="1" t="s">
        <v>24</v>
      </c>
      <c r="K233" s="1">
        <f>WEEKNUM(Table2[[#This Row],[Date]])</f>
        <v>52</v>
      </c>
      <c r="L233" s="1">
        <f>MONTH(Table2[[#This Row],[Date]])</f>
        <v>12</v>
      </c>
    </row>
    <row r="234" spans="1:12" ht="29.4" thickBot="1" x14ac:dyDescent="0.35">
      <c r="A234" s="1" t="s">
        <v>538</v>
      </c>
      <c r="B234" s="1" t="s">
        <v>263</v>
      </c>
      <c r="C234" s="3">
        <v>981394920</v>
      </c>
      <c r="D234" s="5">
        <v>8990000</v>
      </c>
      <c r="E234" s="4">
        <v>1</v>
      </c>
      <c r="F234" s="4">
        <f>Table2[[#This Row],[Số lượng ]]*Table2[[#This Row],[Giá bán]]</f>
        <v>8990000</v>
      </c>
      <c r="G234" s="2">
        <v>45653</v>
      </c>
      <c r="H234" s="1" t="s">
        <v>7</v>
      </c>
      <c r="I234" s="1" t="s">
        <v>16</v>
      </c>
      <c r="J234" s="1" t="s">
        <v>32</v>
      </c>
      <c r="K234" s="1">
        <f>WEEKNUM(Table2[[#This Row],[Date]])</f>
        <v>52</v>
      </c>
      <c r="L234" s="1">
        <f>MONTH(Table2[[#This Row],[Date]])</f>
        <v>12</v>
      </c>
    </row>
    <row r="235" spans="1:12" ht="29.4" thickBot="1" x14ac:dyDescent="0.35">
      <c r="A235" s="1" t="s">
        <v>539</v>
      </c>
      <c r="B235" s="1" t="s">
        <v>264</v>
      </c>
      <c r="C235" s="3">
        <v>935606639</v>
      </c>
      <c r="D235" s="5">
        <v>12500000</v>
      </c>
      <c r="E235" s="4">
        <v>2</v>
      </c>
      <c r="F235" s="4">
        <f>Table2[[#This Row],[Số lượng ]]*Table2[[#This Row],[Giá bán]]</f>
        <v>25000000</v>
      </c>
      <c r="G235" s="2">
        <v>45641</v>
      </c>
      <c r="H235" s="1" t="s">
        <v>13</v>
      </c>
      <c r="I235" s="1" t="s">
        <v>5</v>
      </c>
      <c r="J235" s="1" t="s">
        <v>29</v>
      </c>
      <c r="K235" s="1">
        <f>WEEKNUM(Table2[[#This Row],[Date]])</f>
        <v>51</v>
      </c>
      <c r="L235" s="1">
        <f>MONTH(Table2[[#This Row],[Date]])</f>
        <v>12</v>
      </c>
    </row>
    <row r="236" spans="1:12" ht="29.4" thickBot="1" x14ac:dyDescent="0.35">
      <c r="A236" s="1" t="s">
        <v>540</v>
      </c>
      <c r="B236" s="1" t="s">
        <v>265</v>
      </c>
      <c r="C236" s="3">
        <v>987337818</v>
      </c>
      <c r="D236" s="5">
        <v>150000</v>
      </c>
      <c r="E236" s="4">
        <v>4</v>
      </c>
      <c r="F236" s="4">
        <f>Table2[[#This Row],[Số lượng ]]*Table2[[#This Row],[Giá bán]]</f>
        <v>600000</v>
      </c>
      <c r="G236" s="2">
        <v>45634</v>
      </c>
      <c r="H236" s="1" t="s">
        <v>4</v>
      </c>
      <c r="I236" s="1" t="s">
        <v>8</v>
      </c>
      <c r="J236" s="1" t="s">
        <v>25</v>
      </c>
      <c r="K236" s="1">
        <f>WEEKNUM(Table2[[#This Row],[Date]])</f>
        <v>50</v>
      </c>
      <c r="L236" s="1">
        <f>MONTH(Table2[[#This Row],[Date]])</f>
        <v>12</v>
      </c>
    </row>
    <row r="237" spans="1:12" ht="29.4" thickBot="1" x14ac:dyDescent="0.35">
      <c r="A237" s="1" t="s">
        <v>541</v>
      </c>
      <c r="B237" s="1" t="s">
        <v>266</v>
      </c>
      <c r="C237" s="3">
        <v>960527631</v>
      </c>
      <c r="D237" s="5">
        <v>15990000</v>
      </c>
      <c r="E237" s="4">
        <v>2</v>
      </c>
      <c r="F237" s="4">
        <f>Table2[[#This Row],[Số lượng ]]*Table2[[#This Row],[Giá bán]]</f>
        <v>31980000</v>
      </c>
      <c r="G237" s="2">
        <v>45651</v>
      </c>
      <c r="H237" s="1" t="s">
        <v>7</v>
      </c>
      <c r="I237" s="1" t="s">
        <v>5</v>
      </c>
      <c r="J237" s="1" t="s">
        <v>14</v>
      </c>
      <c r="K237" s="1">
        <f>WEEKNUM(Table2[[#This Row],[Date]])</f>
        <v>52</v>
      </c>
      <c r="L237" s="1">
        <f>MONTH(Table2[[#This Row],[Date]])</f>
        <v>12</v>
      </c>
    </row>
    <row r="238" spans="1:12" ht="58.2" thickBot="1" x14ac:dyDescent="0.35">
      <c r="A238" s="1" t="s">
        <v>542</v>
      </c>
      <c r="B238" s="1" t="s">
        <v>267</v>
      </c>
      <c r="C238" s="3">
        <v>917749299</v>
      </c>
      <c r="D238" s="5">
        <v>450000</v>
      </c>
      <c r="E238" s="4">
        <v>3</v>
      </c>
      <c r="F238" s="4">
        <f>Table2[[#This Row],[Số lượng ]]*Table2[[#This Row],[Giá bán]]</f>
        <v>1350000</v>
      </c>
      <c r="G238" s="2">
        <v>45641</v>
      </c>
      <c r="H238" s="1" t="s">
        <v>7</v>
      </c>
      <c r="I238" s="1" t="s">
        <v>8</v>
      </c>
      <c r="J238" s="1" t="s">
        <v>21</v>
      </c>
      <c r="K238" s="1">
        <f>WEEKNUM(Table2[[#This Row],[Date]])</f>
        <v>51</v>
      </c>
      <c r="L238" s="1">
        <f>MONTH(Table2[[#This Row],[Date]])</f>
        <v>12</v>
      </c>
    </row>
    <row r="239" spans="1:12" ht="29.4" thickBot="1" x14ac:dyDescent="0.35">
      <c r="A239" s="1" t="s">
        <v>543</v>
      </c>
      <c r="B239" s="1" t="s">
        <v>268</v>
      </c>
      <c r="C239" s="3">
        <v>983363160</v>
      </c>
      <c r="D239" s="5">
        <v>15990000</v>
      </c>
      <c r="E239" s="4">
        <v>2</v>
      </c>
      <c r="F239" s="4">
        <f>Table2[[#This Row],[Số lượng ]]*Table2[[#This Row],[Giá bán]]</f>
        <v>31980000</v>
      </c>
      <c r="G239" s="2">
        <v>45629</v>
      </c>
      <c r="H239" s="1" t="s">
        <v>7</v>
      </c>
      <c r="I239" s="1" t="s">
        <v>5</v>
      </c>
      <c r="J239" s="1" t="s">
        <v>14</v>
      </c>
      <c r="K239" s="1">
        <f>WEEKNUM(Table2[[#This Row],[Date]])</f>
        <v>49</v>
      </c>
      <c r="L239" s="1">
        <f>MONTH(Table2[[#This Row],[Date]])</f>
        <v>12</v>
      </c>
    </row>
    <row r="240" spans="1:12" ht="29.4" thickBot="1" x14ac:dyDescent="0.35">
      <c r="A240" s="1" t="s">
        <v>544</v>
      </c>
      <c r="B240" s="1" t="s">
        <v>269</v>
      </c>
      <c r="C240" s="3">
        <v>935848226</v>
      </c>
      <c r="D240" s="5">
        <v>18490000</v>
      </c>
      <c r="E240" s="4">
        <v>1</v>
      </c>
      <c r="F240" s="4">
        <f>Table2[[#This Row],[Số lượng ]]*Table2[[#This Row],[Giá bán]]</f>
        <v>18490000</v>
      </c>
      <c r="G240" s="2">
        <v>45394</v>
      </c>
      <c r="H240" s="1" t="s">
        <v>7</v>
      </c>
      <c r="I240" s="1" t="s">
        <v>16</v>
      </c>
      <c r="J240" s="1" t="s">
        <v>17</v>
      </c>
      <c r="K240" s="1">
        <f>WEEKNUM(Table2[[#This Row],[Date]])</f>
        <v>15</v>
      </c>
      <c r="L240" s="1">
        <f>MONTH(Table2[[#This Row],[Date]])</f>
        <v>4</v>
      </c>
    </row>
    <row r="241" spans="1:12" ht="43.8" thickBot="1" x14ac:dyDescent="0.35">
      <c r="A241" s="1" t="s">
        <v>545</v>
      </c>
      <c r="B241" s="1" t="s">
        <v>270</v>
      </c>
      <c r="C241" s="3">
        <v>999600766</v>
      </c>
      <c r="D241" s="5">
        <v>890000</v>
      </c>
      <c r="E241" s="4">
        <v>3</v>
      </c>
      <c r="F241" s="4">
        <f>Table2[[#This Row],[Số lượng ]]*Table2[[#This Row],[Giá bán]]</f>
        <v>2670000</v>
      </c>
      <c r="G241" s="2">
        <v>45644</v>
      </c>
      <c r="H241" s="1" t="s">
        <v>4</v>
      </c>
      <c r="I241" s="1" t="s">
        <v>8</v>
      </c>
      <c r="J241" s="1" t="s">
        <v>33</v>
      </c>
      <c r="K241" s="1">
        <f>WEEKNUM(Table2[[#This Row],[Date]])</f>
        <v>51</v>
      </c>
      <c r="L241" s="1">
        <f>MONTH(Table2[[#This Row],[Date]])</f>
        <v>12</v>
      </c>
    </row>
    <row r="242" spans="1:12" ht="29.4" thickBot="1" x14ac:dyDescent="0.35">
      <c r="A242" s="1" t="s">
        <v>546</v>
      </c>
      <c r="B242" s="1" t="s">
        <v>212</v>
      </c>
      <c r="C242" s="3">
        <v>985482164</v>
      </c>
      <c r="D242" s="5">
        <v>8900000</v>
      </c>
      <c r="E242" s="4">
        <v>1</v>
      </c>
      <c r="F242" s="4">
        <f>Table2[[#This Row],[Số lượng ]]*Table2[[#This Row],[Giá bán]]</f>
        <v>8900000</v>
      </c>
      <c r="G242" s="2">
        <v>45657</v>
      </c>
      <c r="H242" s="1" t="s">
        <v>13</v>
      </c>
      <c r="I242" s="1" t="s">
        <v>16</v>
      </c>
      <c r="J242" s="1" t="s">
        <v>19</v>
      </c>
      <c r="K242" s="1">
        <f>WEEKNUM(Table2[[#This Row],[Date]])</f>
        <v>53</v>
      </c>
      <c r="L242" s="1">
        <f>MONTH(Table2[[#This Row],[Date]])</f>
        <v>12</v>
      </c>
    </row>
    <row r="243" spans="1:12" ht="43.8" thickBot="1" x14ac:dyDescent="0.35">
      <c r="A243" s="1" t="s">
        <v>547</v>
      </c>
      <c r="B243" s="1" t="s">
        <v>271</v>
      </c>
      <c r="C243" s="3">
        <v>972820592</v>
      </c>
      <c r="D243" s="5">
        <v>890000</v>
      </c>
      <c r="E243" s="4">
        <v>1</v>
      </c>
      <c r="F243" s="4">
        <f>Table2[[#This Row],[Số lượng ]]*Table2[[#This Row],[Giá bán]]</f>
        <v>890000</v>
      </c>
      <c r="G243" s="2">
        <v>45547</v>
      </c>
      <c r="H243" s="1" t="s">
        <v>4</v>
      </c>
      <c r="I243" s="1" t="s">
        <v>8</v>
      </c>
      <c r="J243" s="1" t="s">
        <v>33</v>
      </c>
      <c r="K243" s="1">
        <f>WEEKNUM(Table2[[#This Row],[Date]])</f>
        <v>37</v>
      </c>
      <c r="L243" s="1">
        <f>MONTH(Table2[[#This Row],[Date]])</f>
        <v>9</v>
      </c>
    </row>
    <row r="244" spans="1:12" ht="29.4" thickBot="1" x14ac:dyDescent="0.35">
      <c r="A244" s="1" t="s">
        <v>548</v>
      </c>
      <c r="B244" s="1" t="s">
        <v>272</v>
      </c>
      <c r="C244" s="3">
        <v>979173614</v>
      </c>
      <c r="D244" s="5">
        <v>8990000</v>
      </c>
      <c r="E244" s="4">
        <v>2</v>
      </c>
      <c r="F244" s="4">
        <f>Table2[[#This Row],[Số lượng ]]*Table2[[#This Row],[Giá bán]]</f>
        <v>17980000</v>
      </c>
      <c r="G244" s="2">
        <v>45653</v>
      </c>
      <c r="H244" s="1" t="s">
        <v>4</v>
      </c>
      <c r="I244" s="1" t="s">
        <v>16</v>
      </c>
      <c r="J244" s="1" t="s">
        <v>32</v>
      </c>
      <c r="K244" s="1">
        <f>WEEKNUM(Table2[[#This Row],[Date]])</f>
        <v>52</v>
      </c>
      <c r="L244" s="1">
        <f>MONTH(Table2[[#This Row],[Date]])</f>
        <v>12</v>
      </c>
    </row>
    <row r="245" spans="1:12" ht="29.4" thickBot="1" x14ac:dyDescent="0.35">
      <c r="A245" s="1" t="s">
        <v>549</v>
      </c>
      <c r="B245" s="1" t="s">
        <v>273</v>
      </c>
      <c r="C245" s="3">
        <v>946817443</v>
      </c>
      <c r="D245" s="5">
        <v>22990000</v>
      </c>
      <c r="E245" s="4">
        <v>2</v>
      </c>
      <c r="F245" s="4">
        <f>Table2[[#This Row],[Số lượng ]]*Table2[[#This Row],[Giá bán]]</f>
        <v>45980000</v>
      </c>
      <c r="G245" s="2">
        <v>45334</v>
      </c>
      <c r="H245" s="1" t="s">
        <v>4</v>
      </c>
      <c r="I245" s="1" t="s">
        <v>5</v>
      </c>
      <c r="J245" s="1" t="s">
        <v>34</v>
      </c>
      <c r="K245" s="1">
        <f>WEEKNUM(Table2[[#This Row],[Date]])</f>
        <v>7</v>
      </c>
      <c r="L245" s="1">
        <f>MONTH(Table2[[#This Row],[Date]])</f>
        <v>2</v>
      </c>
    </row>
    <row r="246" spans="1:12" ht="29.4" thickBot="1" x14ac:dyDescent="0.35">
      <c r="A246" s="1" t="s">
        <v>550</v>
      </c>
      <c r="B246" s="1" t="s">
        <v>274</v>
      </c>
      <c r="C246" s="3">
        <v>975540707</v>
      </c>
      <c r="D246" s="5">
        <v>15990000</v>
      </c>
      <c r="E246" s="4">
        <v>1</v>
      </c>
      <c r="F246" s="4">
        <f>Table2[[#This Row],[Số lượng ]]*Table2[[#This Row],[Giá bán]]</f>
        <v>15990000</v>
      </c>
      <c r="G246" s="2">
        <v>45656</v>
      </c>
      <c r="H246" s="1" t="s">
        <v>13</v>
      </c>
      <c r="I246" s="1" t="s">
        <v>5</v>
      </c>
      <c r="J246" s="1" t="s">
        <v>14</v>
      </c>
      <c r="K246" s="1">
        <f>WEEKNUM(Table2[[#This Row],[Date]])</f>
        <v>53</v>
      </c>
      <c r="L246" s="1">
        <f>MONTH(Table2[[#This Row],[Date]])</f>
        <v>12</v>
      </c>
    </row>
    <row r="247" spans="1:12" ht="29.4" thickBot="1" x14ac:dyDescent="0.35">
      <c r="A247" s="1" t="s">
        <v>551</v>
      </c>
      <c r="B247" s="1" t="s">
        <v>275</v>
      </c>
      <c r="C247" s="3">
        <v>964877191</v>
      </c>
      <c r="D247" s="5">
        <v>15990000</v>
      </c>
      <c r="E247" s="4">
        <v>2</v>
      </c>
      <c r="F247" s="4">
        <f>Table2[[#This Row],[Số lượng ]]*Table2[[#This Row],[Giá bán]]</f>
        <v>31980000</v>
      </c>
      <c r="G247" s="2">
        <v>45651</v>
      </c>
      <c r="H247" s="1" t="s">
        <v>7</v>
      </c>
      <c r="I247" s="1" t="s">
        <v>5</v>
      </c>
      <c r="J247" s="1" t="s">
        <v>14</v>
      </c>
      <c r="K247" s="1">
        <f>WEEKNUM(Table2[[#This Row],[Date]])</f>
        <v>52</v>
      </c>
      <c r="L247" s="1">
        <f>MONTH(Table2[[#This Row],[Date]])</f>
        <v>12</v>
      </c>
    </row>
    <row r="248" spans="1:12" ht="29.4" thickBot="1" x14ac:dyDescent="0.35">
      <c r="A248" s="1" t="s">
        <v>552</v>
      </c>
      <c r="B248" s="1" t="s">
        <v>276</v>
      </c>
      <c r="C248" s="3">
        <v>992594562</v>
      </c>
      <c r="D248" s="5">
        <v>8900000</v>
      </c>
      <c r="E248" s="4">
        <v>2</v>
      </c>
      <c r="F248" s="4">
        <f>Table2[[#This Row],[Số lượng ]]*Table2[[#This Row],[Giá bán]]</f>
        <v>17800000</v>
      </c>
      <c r="G248" s="2">
        <v>45516</v>
      </c>
      <c r="H248" s="1" t="s">
        <v>13</v>
      </c>
      <c r="I248" s="1" t="s">
        <v>16</v>
      </c>
      <c r="J248" s="1" t="s">
        <v>19</v>
      </c>
      <c r="K248" s="1">
        <f>WEEKNUM(Table2[[#This Row],[Date]])</f>
        <v>33</v>
      </c>
      <c r="L248" s="1">
        <f>MONTH(Table2[[#This Row],[Date]])</f>
        <v>8</v>
      </c>
    </row>
    <row r="249" spans="1:12" ht="29.4" thickBot="1" x14ac:dyDescent="0.35">
      <c r="A249" s="1" t="s">
        <v>553</v>
      </c>
      <c r="B249" s="1" t="s">
        <v>277</v>
      </c>
      <c r="C249" s="3">
        <v>983994695</v>
      </c>
      <c r="D249" s="5">
        <v>3990000</v>
      </c>
      <c r="E249" s="4">
        <v>2</v>
      </c>
      <c r="F249" s="4">
        <f>Table2[[#This Row],[Số lượng ]]*Table2[[#This Row],[Giá bán]]</f>
        <v>7980000</v>
      </c>
      <c r="G249" s="2">
        <v>45645</v>
      </c>
      <c r="H249" s="1" t="s">
        <v>13</v>
      </c>
      <c r="I249" s="1" t="s">
        <v>8</v>
      </c>
      <c r="J249" s="1" t="s">
        <v>26</v>
      </c>
      <c r="K249" s="1">
        <f>WEEKNUM(Table2[[#This Row],[Date]])</f>
        <v>51</v>
      </c>
      <c r="L249" s="1">
        <f>MONTH(Table2[[#This Row],[Date]])</f>
        <v>12</v>
      </c>
    </row>
    <row r="250" spans="1:12" ht="29.4" thickBot="1" x14ac:dyDescent="0.35">
      <c r="A250" s="1" t="s">
        <v>554</v>
      </c>
      <c r="B250" s="1" t="s">
        <v>278</v>
      </c>
      <c r="C250" s="3">
        <v>945002007</v>
      </c>
      <c r="D250" s="5">
        <v>8990000</v>
      </c>
      <c r="E250" s="4">
        <v>2</v>
      </c>
      <c r="F250" s="4">
        <f>Table2[[#This Row],[Số lượng ]]*Table2[[#This Row],[Giá bán]]</f>
        <v>17980000</v>
      </c>
      <c r="G250" s="2">
        <v>45634</v>
      </c>
      <c r="H250" s="1" t="s">
        <v>4</v>
      </c>
      <c r="I250" s="1" t="s">
        <v>16</v>
      </c>
      <c r="J250" s="1" t="s">
        <v>32</v>
      </c>
      <c r="K250" s="1">
        <f>WEEKNUM(Table2[[#This Row],[Date]])</f>
        <v>50</v>
      </c>
      <c r="L250" s="1">
        <f>MONTH(Table2[[#This Row],[Date]])</f>
        <v>12</v>
      </c>
    </row>
    <row r="251" spans="1:12" ht="29.4" thickBot="1" x14ac:dyDescent="0.35">
      <c r="A251" s="1" t="s">
        <v>555</v>
      </c>
      <c r="B251" s="1" t="s">
        <v>279</v>
      </c>
      <c r="C251" s="3">
        <v>989941241</v>
      </c>
      <c r="D251" s="5">
        <v>8990000</v>
      </c>
      <c r="E251" s="4">
        <v>1</v>
      </c>
      <c r="F251" s="4">
        <f>Table2[[#This Row],[Số lượng ]]*Table2[[#This Row],[Giá bán]]</f>
        <v>8990000</v>
      </c>
      <c r="G251" s="2">
        <v>45651</v>
      </c>
      <c r="H251" s="1" t="s">
        <v>7</v>
      </c>
      <c r="I251" s="1" t="s">
        <v>16</v>
      </c>
      <c r="J251" s="1" t="s">
        <v>32</v>
      </c>
      <c r="K251" s="1">
        <f>WEEKNUM(Table2[[#This Row],[Date]])</f>
        <v>52</v>
      </c>
      <c r="L251" s="1">
        <f>MONTH(Table2[[#This Row],[Date]])</f>
        <v>12</v>
      </c>
    </row>
    <row r="252" spans="1:12" ht="29.4" thickBot="1" x14ac:dyDescent="0.35">
      <c r="A252" s="1" t="s">
        <v>556</v>
      </c>
      <c r="B252" s="1" t="s">
        <v>280</v>
      </c>
      <c r="C252" s="3">
        <v>998329927</v>
      </c>
      <c r="D252" s="5">
        <v>22990000</v>
      </c>
      <c r="E252" s="4">
        <v>1</v>
      </c>
      <c r="F252" s="4">
        <f>Table2[[#This Row],[Số lượng ]]*Table2[[#This Row],[Giá bán]]</f>
        <v>22990000</v>
      </c>
      <c r="G252" s="2">
        <v>45632</v>
      </c>
      <c r="H252" s="1" t="s">
        <v>4</v>
      </c>
      <c r="I252" s="1" t="s">
        <v>5</v>
      </c>
      <c r="J252" s="1" t="s">
        <v>34</v>
      </c>
      <c r="K252" s="1">
        <f>WEEKNUM(Table2[[#This Row],[Date]])</f>
        <v>49</v>
      </c>
      <c r="L252" s="1">
        <f>MONTH(Table2[[#This Row],[Date]])</f>
        <v>12</v>
      </c>
    </row>
    <row r="253" spans="1:12" ht="29.4" thickBot="1" x14ac:dyDescent="0.35">
      <c r="A253" s="1" t="s">
        <v>557</v>
      </c>
      <c r="B253" s="1" t="s">
        <v>281</v>
      </c>
      <c r="C253" s="3">
        <v>920605783</v>
      </c>
      <c r="D253" s="5">
        <v>9990000</v>
      </c>
      <c r="E253" s="4">
        <v>2</v>
      </c>
      <c r="F253" s="4">
        <f>Table2[[#This Row],[Số lượng ]]*Table2[[#This Row],[Giá bán]]</f>
        <v>19980000</v>
      </c>
      <c r="G253" s="2">
        <v>45657</v>
      </c>
      <c r="H253" s="1" t="s">
        <v>4</v>
      </c>
      <c r="I253" s="1" t="s">
        <v>16</v>
      </c>
      <c r="J253" s="1" t="s">
        <v>23</v>
      </c>
      <c r="K253" s="1">
        <f>WEEKNUM(Table2[[#This Row],[Date]])</f>
        <v>53</v>
      </c>
      <c r="L253" s="1">
        <f>MONTH(Table2[[#This Row],[Date]])</f>
        <v>12</v>
      </c>
    </row>
    <row r="254" spans="1:12" ht="43.8" thickBot="1" x14ac:dyDescent="0.35">
      <c r="A254" s="1" t="s">
        <v>558</v>
      </c>
      <c r="B254" s="1" t="s">
        <v>59</v>
      </c>
      <c r="C254" s="3">
        <v>940281491</v>
      </c>
      <c r="D254" s="5">
        <v>2990000</v>
      </c>
      <c r="E254" s="4">
        <v>4</v>
      </c>
      <c r="F254" s="4">
        <f>Table2[[#This Row],[Số lượng ]]*Table2[[#This Row],[Giá bán]]</f>
        <v>11960000</v>
      </c>
      <c r="G254" s="2">
        <v>45650</v>
      </c>
      <c r="H254" s="1" t="s">
        <v>7</v>
      </c>
      <c r="I254" s="1" t="s">
        <v>8</v>
      </c>
      <c r="J254" s="1" t="s">
        <v>22</v>
      </c>
      <c r="K254" s="1">
        <f>WEEKNUM(Table2[[#This Row],[Date]])</f>
        <v>52</v>
      </c>
      <c r="L254" s="1">
        <f>MONTH(Table2[[#This Row],[Date]])</f>
        <v>12</v>
      </c>
    </row>
    <row r="255" spans="1:12" ht="29.4" thickBot="1" x14ac:dyDescent="0.35">
      <c r="A255" s="1" t="s">
        <v>559</v>
      </c>
      <c r="B255" s="1" t="s">
        <v>282</v>
      </c>
      <c r="C255" s="3">
        <v>916904975</v>
      </c>
      <c r="D255" s="5">
        <v>12500000</v>
      </c>
      <c r="E255" s="4">
        <v>2</v>
      </c>
      <c r="F255" s="4">
        <f>Table2[[#This Row],[Số lượng ]]*Table2[[#This Row],[Giá bán]]</f>
        <v>25000000</v>
      </c>
      <c r="G255" s="2">
        <v>45646</v>
      </c>
      <c r="H255" s="1" t="s">
        <v>13</v>
      </c>
      <c r="I255" s="1" t="s">
        <v>16</v>
      </c>
      <c r="J255" s="1" t="s">
        <v>18</v>
      </c>
      <c r="K255" s="1">
        <f>WEEKNUM(Table2[[#This Row],[Date]])</f>
        <v>51</v>
      </c>
      <c r="L255" s="1">
        <f>MONTH(Table2[[#This Row],[Date]])</f>
        <v>12</v>
      </c>
    </row>
    <row r="256" spans="1:12" ht="29.4" thickBot="1" x14ac:dyDescent="0.35">
      <c r="A256" s="1" t="s">
        <v>560</v>
      </c>
      <c r="B256" s="1" t="s">
        <v>61</v>
      </c>
      <c r="C256" s="3">
        <v>935808537</v>
      </c>
      <c r="D256" s="5">
        <v>5290000</v>
      </c>
      <c r="E256" s="4">
        <v>2</v>
      </c>
      <c r="F256" s="4">
        <f>Table2[[#This Row],[Số lượng ]]*Table2[[#This Row],[Giá bán]]</f>
        <v>10580000</v>
      </c>
      <c r="G256" s="2">
        <v>45363</v>
      </c>
      <c r="H256" s="1" t="s">
        <v>13</v>
      </c>
      <c r="I256" s="1" t="s">
        <v>8</v>
      </c>
      <c r="J256" s="1" t="s">
        <v>27</v>
      </c>
      <c r="K256" s="1">
        <f>WEEKNUM(Table2[[#This Row],[Date]])</f>
        <v>11</v>
      </c>
      <c r="L256" s="1">
        <f>MONTH(Table2[[#This Row],[Date]])</f>
        <v>3</v>
      </c>
    </row>
    <row r="257" spans="1:12" ht="29.4" thickBot="1" x14ac:dyDescent="0.35">
      <c r="A257" s="1" t="s">
        <v>561</v>
      </c>
      <c r="B257" s="1" t="s">
        <v>283</v>
      </c>
      <c r="C257" s="3">
        <v>969849511</v>
      </c>
      <c r="D257" s="5">
        <v>15990000</v>
      </c>
      <c r="E257" s="4">
        <v>2</v>
      </c>
      <c r="F257" s="4">
        <f>Table2[[#This Row],[Số lượng ]]*Table2[[#This Row],[Giá bán]]</f>
        <v>31980000</v>
      </c>
      <c r="G257" s="2">
        <v>45650</v>
      </c>
      <c r="H257" s="1" t="s">
        <v>4</v>
      </c>
      <c r="I257" s="1" t="s">
        <v>5</v>
      </c>
      <c r="J257" s="1" t="s">
        <v>14</v>
      </c>
      <c r="K257" s="1">
        <f>WEEKNUM(Table2[[#This Row],[Date]])</f>
        <v>52</v>
      </c>
      <c r="L257" s="1">
        <f>MONTH(Table2[[#This Row],[Date]])</f>
        <v>12</v>
      </c>
    </row>
    <row r="258" spans="1:12" ht="29.4" thickBot="1" x14ac:dyDescent="0.35">
      <c r="A258" s="1" t="s">
        <v>562</v>
      </c>
      <c r="B258" s="1" t="s">
        <v>284</v>
      </c>
      <c r="C258" s="3">
        <v>923448342</v>
      </c>
      <c r="D258" s="5">
        <v>8900000</v>
      </c>
      <c r="E258" s="4">
        <v>2</v>
      </c>
      <c r="F258" s="4">
        <f>Table2[[#This Row],[Số lượng ]]*Table2[[#This Row],[Giá bán]]</f>
        <v>17800000</v>
      </c>
      <c r="G258" s="2">
        <v>45608</v>
      </c>
      <c r="H258" s="1" t="s">
        <v>13</v>
      </c>
      <c r="I258" s="1" t="s">
        <v>16</v>
      </c>
      <c r="J258" s="1" t="s">
        <v>19</v>
      </c>
      <c r="K258" s="1">
        <f>WEEKNUM(Table2[[#This Row],[Date]])</f>
        <v>46</v>
      </c>
      <c r="L258" s="1">
        <f>MONTH(Table2[[#This Row],[Date]])</f>
        <v>11</v>
      </c>
    </row>
    <row r="259" spans="1:12" ht="29.4" thickBot="1" x14ac:dyDescent="0.35">
      <c r="A259" s="1" t="s">
        <v>563</v>
      </c>
      <c r="B259" s="1" t="s">
        <v>285</v>
      </c>
      <c r="C259" s="3">
        <v>942002808</v>
      </c>
      <c r="D259" s="5">
        <v>8900000</v>
      </c>
      <c r="E259" s="4">
        <v>2</v>
      </c>
      <c r="F259" s="4">
        <f>Table2[[#This Row],[Số lượng ]]*Table2[[#This Row],[Giá bán]]</f>
        <v>17800000</v>
      </c>
      <c r="G259" s="2">
        <v>45647</v>
      </c>
      <c r="H259" s="1" t="s">
        <v>7</v>
      </c>
      <c r="I259" s="1" t="s">
        <v>16</v>
      </c>
      <c r="J259" s="1" t="s">
        <v>19</v>
      </c>
      <c r="K259" s="1">
        <f>WEEKNUM(Table2[[#This Row],[Date]])</f>
        <v>51</v>
      </c>
      <c r="L259" s="1">
        <f>MONTH(Table2[[#This Row],[Date]])</f>
        <v>12</v>
      </c>
    </row>
    <row r="260" spans="1:12" ht="58.2" thickBot="1" x14ac:dyDescent="0.35">
      <c r="A260" s="1" t="s">
        <v>564</v>
      </c>
      <c r="B260" s="1" t="s">
        <v>286</v>
      </c>
      <c r="C260" s="3">
        <v>916866268</v>
      </c>
      <c r="D260" s="5">
        <v>280000</v>
      </c>
      <c r="E260" s="4">
        <v>3</v>
      </c>
      <c r="F260" s="4">
        <f>Table2[[#This Row],[Số lượng ]]*Table2[[#This Row],[Giá bán]]</f>
        <v>840000</v>
      </c>
      <c r="G260" s="2">
        <v>45644</v>
      </c>
      <c r="H260" s="1" t="s">
        <v>7</v>
      </c>
      <c r="I260" s="1" t="s">
        <v>8</v>
      </c>
      <c r="J260" s="1" t="s">
        <v>30</v>
      </c>
      <c r="K260" s="1">
        <f>WEEKNUM(Table2[[#This Row],[Date]])</f>
        <v>51</v>
      </c>
      <c r="L260" s="1">
        <f>MONTH(Table2[[#This Row],[Date]])</f>
        <v>12</v>
      </c>
    </row>
    <row r="261" spans="1:12" ht="29.4" thickBot="1" x14ac:dyDescent="0.35">
      <c r="A261" s="1" t="s">
        <v>565</v>
      </c>
      <c r="B261" s="1" t="s">
        <v>282</v>
      </c>
      <c r="C261" s="3">
        <v>965177213</v>
      </c>
      <c r="D261" s="5">
        <v>350000</v>
      </c>
      <c r="E261" s="4">
        <v>1</v>
      </c>
      <c r="F261" s="4">
        <f>Table2[[#This Row],[Số lượng ]]*Table2[[#This Row],[Giá bán]]</f>
        <v>350000</v>
      </c>
      <c r="G261" s="2">
        <v>45654</v>
      </c>
      <c r="H261" s="1" t="s">
        <v>4</v>
      </c>
      <c r="I261" s="1" t="s">
        <v>8</v>
      </c>
      <c r="J261" s="1" t="s">
        <v>9</v>
      </c>
      <c r="K261" s="1">
        <f>WEEKNUM(Table2[[#This Row],[Date]])</f>
        <v>52</v>
      </c>
      <c r="L261" s="1">
        <f>MONTH(Table2[[#This Row],[Date]])</f>
        <v>12</v>
      </c>
    </row>
    <row r="262" spans="1:12" ht="29.4" thickBot="1" x14ac:dyDescent="0.35">
      <c r="A262" s="1" t="s">
        <v>566</v>
      </c>
      <c r="B262" s="1" t="s">
        <v>287</v>
      </c>
      <c r="C262" s="3">
        <v>919584466</v>
      </c>
      <c r="D262" s="5">
        <v>22990000</v>
      </c>
      <c r="E262" s="4">
        <v>2</v>
      </c>
      <c r="F262" s="4">
        <f>Table2[[#This Row],[Số lượng ]]*Table2[[#This Row],[Giá bán]]</f>
        <v>45980000</v>
      </c>
      <c r="G262" s="2">
        <v>45632</v>
      </c>
      <c r="H262" s="1" t="s">
        <v>4</v>
      </c>
      <c r="I262" s="1" t="s">
        <v>5</v>
      </c>
      <c r="J262" s="1" t="s">
        <v>34</v>
      </c>
      <c r="K262" s="1">
        <f>WEEKNUM(Table2[[#This Row],[Date]])</f>
        <v>49</v>
      </c>
      <c r="L262" s="1">
        <f>MONTH(Table2[[#This Row],[Date]])</f>
        <v>12</v>
      </c>
    </row>
    <row r="263" spans="1:12" ht="15" thickBot="1" x14ac:dyDescent="0.35">
      <c r="A263" s="1" t="s">
        <v>567</v>
      </c>
      <c r="B263" s="1" t="s">
        <v>288</v>
      </c>
      <c r="C263" s="3">
        <v>946850196</v>
      </c>
      <c r="D263" s="5">
        <v>3990000</v>
      </c>
      <c r="E263" s="4">
        <v>1</v>
      </c>
      <c r="F263" s="4">
        <f>Table2[[#This Row],[Số lượng ]]*Table2[[#This Row],[Giá bán]]</f>
        <v>3990000</v>
      </c>
      <c r="G263" s="2">
        <v>45652</v>
      </c>
      <c r="H263" s="1" t="s">
        <v>7</v>
      </c>
      <c r="I263" s="1" t="s">
        <v>8</v>
      </c>
      <c r="J263" s="1" t="s">
        <v>26</v>
      </c>
      <c r="K263" s="1">
        <f>WEEKNUM(Table2[[#This Row],[Date]])</f>
        <v>52</v>
      </c>
      <c r="L263" s="1">
        <f>MONTH(Table2[[#This Row],[Date]])</f>
        <v>12</v>
      </c>
    </row>
    <row r="264" spans="1:12" ht="29.4" thickBot="1" x14ac:dyDescent="0.35">
      <c r="A264" s="1" t="s">
        <v>568</v>
      </c>
      <c r="B264" s="1" t="s">
        <v>289</v>
      </c>
      <c r="C264" s="3">
        <v>926937148</v>
      </c>
      <c r="D264" s="5">
        <v>6990000</v>
      </c>
      <c r="E264" s="4">
        <v>2</v>
      </c>
      <c r="F264" s="4">
        <f>Table2[[#This Row],[Số lượng ]]*Table2[[#This Row],[Giá bán]]</f>
        <v>13980000</v>
      </c>
      <c r="G264" s="2">
        <v>45646</v>
      </c>
      <c r="H264" s="1" t="s">
        <v>4</v>
      </c>
      <c r="I264" s="1" t="s">
        <v>5</v>
      </c>
      <c r="J264" s="1" t="s">
        <v>28</v>
      </c>
      <c r="K264" s="1">
        <f>WEEKNUM(Table2[[#This Row],[Date]])</f>
        <v>51</v>
      </c>
      <c r="L264" s="1">
        <f>MONTH(Table2[[#This Row],[Date]])</f>
        <v>12</v>
      </c>
    </row>
    <row r="265" spans="1:12" ht="29.4" thickBot="1" x14ac:dyDescent="0.35">
      <c r="A265" s="1" t="s">
        <v>569</v>
      </c>
      <c r="B265" s="1" t="s">
        <v>171</v>
      </c>
      <c r="C265" s="3">
        <v>994120751</v>
      </c>
      <c r="D265" s="5">
        <v>9990000</v>
      </c>
      <c r="E265" s="4">
        <v>1</v>
      </c>
      <c r="F265" s="4">
        <f>Table2[[#This Row],[Số lượng ]]*Table2[[#This Row],[Giá bán]]</f>
        <v>9990000</v>
      </c>
      <c r="G265" s="2">
        <v>45635</v>
      </c>
      <c r="H265" s="1" t="s">
        <v>7</v>
      </c>
      <c r="I265" s="1" t="s">
        <v>5</v>
      </c>
      <c r="J265" s="1" t="s">
        <v>6</v>
      </c>
      <c r="K265" s="1">
        <f>WEEKNUM(Table2[[#This Row],[Date]])</f>
        <v>50</v>
      </c>
      <c r="L265" s="1">
        <f>MONTH(Table2[[#This Row],[Date]])</f>
        <v>12</v>
      </c>
    </row>
    <row r="266" spans="1:12" ht="29.4" thickBot="1" x14ac:dyDescent="0.35">
      <c r="A266" s="1" t="s">
        <v>570</v>
      </c>
      <c r="B266" s="1" t="s">
        <v>290</v>
      </c>
      <c r="C266" s="3">
        <v>961100987</v>
      </c>
      <c r="D266" s="5">
        <v>15990000</v>
      </c>
      <c r="E266" s="4">
        <v>2</v>
      </c>
      <c r="F266" s="4">
        <f>Table2[[#This Row],[Số lượng ]]*Table2[[#This Row],[Giá bán]]</f>
        <v>31980000</v>
      </c>
      <c r="G266" s="2">
        <v>45631</v>
      </c>
      <c r="H266" s="1" t="s">
        <v>13</v>
      </c>
      <c r="I266" s="1" t="s">
        <v>5</v>
      </c>
      <c r="J266" s="1" t="s">
        <v>14</v>
      </c>
      <c r="K266" s="1">
        <f>WEEKNUM(Table2[[#This Row],[Date]])</f>
        <v>49</v>
      </c>
      <c r="L266" s="1">
        <f>MONTH(Table2[[#This Row],[Date]])</f>
        <v>12</v>
      </c>
    </row>
    <row r="267" spans="1:12" ht="29.4" thickBot="1" x14ac:dyDescent="0.35">
      <c r="A267" s="1" t="s">
        <v>571</v>
      </c>
      <c r="B267" s="1" t="s">
        <v>291</v>
      </c>
      <c r="C267" s="3">
        <v>959251188</v>
      </c>
      <c r="D267" s="5">
        <v>8990000</v>
      </c>
      <c r="E267" s="4">
        <v>2</v>
      </c>
      <c r="F267" s="4">
        <f>Table2[[#This Row],[Số lượng ]]*Table2[[#This Row],[Giá bán]]</f>
        <v>17980000</v>
      </c>
      <c r="G267" s="2">
        <v>45608</v>
      </c>
      <c r="H267" s="1" t="s">
        <v>13</v>
      </c>
      <c r="I267" s="1" t="s">
        <v>16</v>
      </c>
      <c r="J267" s="1" t="s">
        <v>32</v>
      </c>
      <c r="K267" s="1">
        <f>WEEKNUM(Table2[[#This Row],[Date]])</f>
        <v>46</v>
      </c>
      <c r="L267" s="1">
        <f>MONTH(Table2[[#This Row],[Date]])</f>
        <v>11</v>
      </c>
    </row>
    <row r="268" spans="1:12" ht="29.4" thickBot="1" x14ac:dyDescent="0.35">
      <c r="A268" s="1" t="s">
        <v>572</v>
      </c>
      <c r="B268" s="1" t="s">
        <v>292</v>
      </c>
      <c r="C268" s="3">
        <v>933842070</v>
      </c>
      <c r="D268" s="5">
        <v>8990000</v>
      </c>
      <c r="E268" s="4">
        <v>2</v>
      </c>
      <c r="F268" s="4">
        <f>Table2[[#This Row],[Số lượng ]]*Table2[[#This Row],[Giá bán]]</f>
        <v>17980000</v>
      </c>
      <c r="G268" s="2">
        <v>45657</v>
      </c>
      <c r="H268" s="1" t="s">
        <v>7</v>
      </c>
      <c r="I268" s="1" t="s">
        <v>16</v>
      </c>
      <c r="J268" s="1" t="s">
        <v>32</v>
      </c>
      <c r="K268" s="1">
        <f>WEEKNUM(Table2[[#This Row],[Date]])</f>
        <v>53</v>
      </c>
      <c r="L268" s="1">
        <f>MONTH(Table2[[#This Row],[Date]])</f>
        <v>12</v>
      </c>
    </row>
    <row r="269" spans="1:12" ht="29.4" thickBot="1" x14ac:dyDescent="0.35">
      <c r="A269" s="1" t="s">
        <v>573</v>
      </c>
      <c r="B269" s="1" t="s">
        <v>293</v>
      </c>
      <c r="C269" s="3">
        <v>952111160</v>
      </c>
      <c r="D269" s="5">
        <v>15990000</v>
      </c>
      <c r="E269" s="4">
        <v>2</v>
      </c>
      <c r="F269" s="4">
        <f>Table2[[#This Row],[Số lượng ]]*Table2[[#This Row],[Giá bán]]</f>
        <v>31980000</v>
      </c>
      <c r="G269" s="2">
        <v>45641</v>
      </c>
      <c r="H269" s="1" t="s">
        <v>4</v>
      </c>
      <c r="I269" s="1" t="s">
        <v>5</v>
      </c>
      <c r="J269" s="1" t="s">
        <v>14</v>
      </c>
      <c r="K269" s="1">
        <f>WEEKNUM(Table2[[#This Row],[Date]])</f>
        <v>51</v>
      </c>
      <c r="L269" s="1">
        <f>MONTH(Table2[[#This Row],[Date]])</f>
        <v>12</v>
      </c>
    </row>
    <row r="270" spans="1:12" ht="29.4" thickBot="1" x14ac:dyDescent="0.35">
      <c r="A270" s="1" t="s">
        <v>574</v>
      </c>
      <c r="B270" s="1" t="s">
        <v>294</v>
      </c>
      <c r="C270" s="3">
        <v>911590610</v>
      </c>
      <c r="D270" s="5">
        <v>12500000</v>
      </c>
      <c r="E270" s="4">
        <v>2</v>
      </c>
      <c r="F270" s="4">
        <f>Table2[[#This Row],[Số lượng ]]*Table2[[#This Row],[Giá bán]]</f>
        <v>25000000</v>
      </c>
      <c r="G270" s="2">
        <v>45643</v>
      </c>
      <c r="H270" s="1" t="s">
        <v>13</v>
      </c>
      <c r="I270" s="1" t="s">
        <v>5</v>
      </c>
      <c r="J270" s="1" t="s">
        <v>29</v>
      </c>
      <c r="K270" s="1">
        <f>WEEKNUM(Table2[[#This Row],[Date]])</f>
        <v>51</v>
      </c>
      <c r="L270" s="1">
        <f>MONTH(Table2[[#This Row],[Date]])</f>
        <v>12</v>
      </c>
    </row>
    <row r="271" spans="1:12" ht="29.4" thickBot="1" x14ac:dyDescent="0.35">
      <c r="A271" s="1" t="s">
        <v>575</v>
      </c>
      <c r="B271" s="1" t="s">
        <v>295</v>
      </c>
      <c r="C271" s="3">
        <v>911656329</v>
      </c>
      <c r="D271" s="5">
        <v>12500000</v>
      </c>
      <c r="E271" s="4">
        <v>1</v>
      </c>
      <c r="F271" s="4">
        <f>Table2[[#This Row],[Số lượng ]]*Table2[[#This Row],[Giá bán]]</f>
        <v>12500000</v>
      </c>
      <c r="G271" s="2">
        <v>45640</v>
      </c>
      <c r="H271" s="1" t="s">
        <v>13</v>
      </c>
      <c r="I271" s="1" t="s">
        <v>16</v>
      </c>
      <c r="J271" s="1" t="s">
        <v>18</v>
      </c>
      <c r="K271" s="1">
        <f>WEEKNUM(Table2[[#This Row],[Date]])</f>
        <v>50</v>
      </c>
      <c r="L271" s="1">
        <f>MONTH(Table2[[#This Row],[Date]])</f>
        <v>12</v>
      </c>
    </row>
    <row r="272" spans="1:12" ht="43.8" thickBot="1" x14ac:dyDescent="0.35">
      <c r="A272" s="1" t="s">
        <v>576</v>
      </c>
      <c r="B272" s="1" t="s">
        <v>296</v>
      </c>
      <c r="C272" s="3">
        <v>947543473</v>
      </c>
      <c r="D272" s="5">
        <v>80000</v>
      </c>
      <c r="E272" s="4">
        <v>1</v>
      </c>
      <c r="F272" s="4">
        <f>Table2[[#This Row],[Số lượng ]]*Table2[[#This Row],[Giá bán]]</f>
        <v>80000</v>
      </c>
      <c r="G272" s="2">
        <v>45648</v>
      </c>
      <c r="H272" s="1" t="s">
        <v>7</v>
      </c>
      <c r="I272" s="1" t="s">
        <v>8</v>
      </c>
      <c r="J272" s="1" t="s">
        <v>12</v>
      </c>
      <c r="K272" s="1">
        <f>WEEKNUM(Table2[[#This Row],[Date]])</f>
        <v>52</v>
      </c>
      <c r="L272" s="1">
        <f>MONTH(Table2[[#This Row],[Date]])</f>
        <v>12</v>
      </c>
    </row>
    <row r="273" spans="1:12" ht="29.4" thickBot="1" x14ac:dyDescent="0.35">
      <c r="A273" s="1" t="s">
        <v>577</v>
      </c>
      <c r="B273" s="1" t="s">
        <v>297</v>
      </c>
      <c r="C273" s="3">
        <v>984605013</v>
      </c>
      <c r="D273" s="5">
        <v>150000</v>
      </c>
      <c r="E273" s="4">
        <v>4</v>
      </c>
      <c r="F273" s="4">
        <f>Table2[[#This Row],[Số lượng ]]*Table2[[#This Row],[Giá bán]]</f>
        <v>600000</v>
      </c>
      <c r="G273" s="2">
        <v>45628</v>
      </c>
      <c r="H273" s="1" t="s">
        <v>7</v>
      </c>
      <c r="I273" s="1" t="s">
        <v>8</v>
      </c>
      <c r="J273" s="1" t="s">
        <v>25</v>
      </c>
      <c r="K273" s="1">
        <f>WEEKNUM(Table2[[#This Row],[Date]])</f>
        <v>49</v>
      </c>
      <c r="L273" s="1">
        <f>MONTH(Table2[[#This Row],[Date]])</f>
        <v>12</v>
      </c>
    </row>
    <row r="274" spans="1:12" ht="29.4" thickBot="1" x14ac:dyDescent="0.35">
      <c r="A274" s="1" t="s">
        <v>578</v>
      </c>
      <c r="B274" s="1" t="s">
        <v>298</v>
      </c>
      <c r="C274" s="3">
        <v>997735896</v>
      </c>
      <c r="D274" s="5">
        <v>9990000</v>
      </c>
      <c r="E274" s="4">
        <v>1</v>
      </c>
      <c r="F274" s="4">
        <f>Table2[[#This Row],[Số lượng ]]*Table2[[#This Row],[Giá bán]]</f>
        <v>9990000</v>
      </c>
      <c r="G274" s="2">
        <v>45649</v>
      </c>
      <c r="H274" s="1" t="s">
        <v>7</v>
      </c>
      <c r="I274" s="1" t="s">
        <v>16</v>
      </c>
      <c r="J274" s="1" t="s">
        <v>23</v>
      </c>
      <c r="K274" s="1">
        <f>WEEKNUM(Table2[[#This Row],[Date]])</f>
        <v>52</v>
      </c>
      <c r="L274" s="1">
        <f>MONTH(Table2[[#This Row],[Date]])</f>
        <v>12</v>
      </c>
    </row>
    <row r="275" spans="1:12" ht="15" thickBot="1" x14ac:dyDescent="0.35">
      <c r="A275" s="1" t="s">
        <v>579</v>
      </c>
      <c r="B275" s="1" t="s">
        <v>299</v>
      </c>
      <c r="C275" s="3">
        <v>936347197</v>
      </c>
      <c r="D275" s="5">
        <v>3990000</v>
      </c>
      <c r="E275" s="4">
        <v>3</v>
      </c>
      <c r="F275" s="4">
        <f>Table2[[#This Row],[Số lượng ]]*Table2[[#This Row],[Giá bán]]</f>
        <v>11970000</v>
      </c>
      <c r="G275" s="2">
        <v>45657</v>
      </c>
      <c r="H275" s="1" t="s">
        <v>4</v>
      </c>
      <c r="I275" s="1" t="s">
        <v>8</v>
      </c>
      <c r="J275" s="1" t="s">
        <v>26</v>
      </c>
      <c r="K275" s="1">
        <f>WEEKNUM(Table2[[#This Row],[Date]])</f>
        <v>53</v>
      </c>
      <c r="L275" s="1">
        <f>MONTH(Table2[[#This Row],[Date]])</f>
        <v>12</v>
      </c>
    </row>
    <row r="276" spans="1:12" ht="29.4" thickBot="1" x14ac:dyDescent="0.35">
      <c r="A276" s="1" t="s">
        <v>580</v>
      </c>
      <c r="B276" s="1" t="s">
        <v>300</v>
      </c>
      <c r="C276" s="3">
        <v>952552488</v>
      </c>
      <c r="D276" s="5">
        <v>150000</v>
      </c>
      <c r="E276" s="4">
        <v>3</v>
      </c>
      <c r="F276" s="4">
        <f>Table2[[#This Row],[Số lượng ]]*Table2[[#This Row],[Giá bán]]</f>
        <v>450000</v>
      </c>
      <c r="G276" s="2">
        <v>45638</v>
      </c>
      <c r="H276" s="1" t="s">
        <v>4</v>
      </c>
      <c r="I276" s="1" t="s">
        <v>8</v>
      </c>
      <c r="J276" s="1" t="s">
        <v>25</v>
      </c>
      <c r="K276" s="1">
        <f>WEEKNUM(Table2[[#This Row],[Date]])</f>
        <v>50</v>
      </c>
      <c r="L276" s="1">
        <f>MONTH(Table2[[#This Row],[Date]])</f>
        <v>12</v>
      </c>
    </row>
    <row r="277" spans="1:12" ht="29.4" thickBot="1" x14ac:dyDescent="0.35">
      <c r="A277" s="1" t="s">
        <v>581</v>
      </c>
      <c r="B277" s="1" t="s">
        <v>301</v>
      </c>
      <c r="C277" s="3">
        <v>987049595</v>
      </c>
      <c r="D277" s="5">
        <v>12500000</v>
      </c>
      <c r="E277" s="4">
        <v>2</v>
      </c>
      <c r="F277" s="4">
        <f>Table2[[#This Row],[Số lượng ]]*Table2[[#This Row],[Giá bán]]</f>
        <v>25000000</v>
      </c>
      <c r="G277" s="2">
        <v>45642</v>
      </c>
      <c r="H277" s="1" t="s">
        <v>13</v>
      </c>
      <c r="I277" s="1" t="s">
        <v>16</v>
      </c>
      <c r="J277" s="1" t="s">
        <v>18</v>
      </c>
      <c r="K277" s="1">
        <f>WEEKNUM(Table2[[#This Row],[Date]])</f>
        <v>51</v>
      </c>
      <c r="L277" s="1">
        <f>MONTH(Table2[[#This Row],[Date]])</f>
        <v>12</v>
      </c>
    </row>
    <row r="278" spans="1:12" ht="29.4" thickBot="1" x14ac:dyDescent="0.35">
      <c r="A278" s="1" t="s">
        <v>582</v>
      </c>
      <c r="B278" s="1" t="s">
        <v>302</v>
      </c>
      <c r="C278" s="3">
        <v>940667888</v>
      </c>
      <c r="D278" s="5">
        <v>8900000</v>
      </c>
      <c r="E278" s="4">
        <v>2</v>
      </c>
      <c r="F278" s="4">
        <f>Table2[[#This Row],[Số lượng ]]*Table2[[#This Row],[Giá bán]]</f>
        <v>17800000</v>
      </c>
      <c r="G278" s="2">
        <v>45637</v>
      </c>
      <c r="H278" s="1" t="s">
        <v>7</v>
      </c>
      <c r="I278" s="1" t="s">
        <v>16</v>
      </c>
      <c r="J278" s="1" t="s">
        <v>19</v>
      </c>
      <c r="K278" s="1">
        <f>WEEKNUM(Table2[[#This Row],[Date]])</f>
        <v>50</v>
      </c>
      <c r="L278" s="1">
        <f>MONTH(Table2[[#This Row],[Date]])</f>
        <v>12</v>
      </c>
    </row>
    <row r="279" spans="1:12" ht="29.4" thickBot="1" x14ac:dyDescent="0.35">
      <c r="A279" s="1" t="s">
        <v>583</v>
      </c>
      <c r="B279" s="1" t="s">
        <v>303</v>
      </c>
      <c r="C279" s="3">
        <v>911994519</v>
      </c>
      <c r="D279" s="5">
        <v>9990000</v>
      </c>
      <c r="E279" s="4">
        <v>2</v>
      </c>
      <c r="F279" s="4">
        <f>Table2[[#This Row],[Số lượng ]]*Table2[[#This Row],[Giá bán]]</f>
        <v>19980000</v>
      </c>
      <c r="G279" s="2">
        <v>45652</v>
      </c>
      <c r="H279" s="1" t="s">
        <v>13</v>
      </c>
      <c r="I279" s="1" t="s">
        <v>16</v>
      </c>
      <c r="J279" s="1" t="s">
        <v>23</v>
      </c>
      <c r="K279" s="1">
        <f>WEEKNUM(Table2[[#This Row],[Date]])</f>
        <v>52</v>
      </c>
      <c r="L279" s="1">
        <f>MONTH(Table2[[#This Row],[Date]])</f>
        <v>12</v>
      </c>
    </row>
    <row r="280" spans="1:12" ht="29.4" thickBot="1" x14ac:dyDescent="0.35">
      <c r="A280" s="1" t="s">
        <v>584</v>
      </c>
      <c r="B280" s="1" t="s">
        <v>304</v>
      </c>
      <c r="C280" s="3">
        <v>918846539</v>
      </c>
      <c r="D280" s="5">
        <v>18490000</v>
      </c>
      <c r="E280" s="4">
        <v>2</v>
      </c>
      <c r="F280" s="4">
        <f>Table2[[#This Row],[Số lượng ]]*Table2[[#This Row],[Giá bán]]</f>
        <v>36980000</v>
      </c>
      <c r="G280" s="2">
        <v>45394</v>
      </c>
      <c r="H280" s="1" t="s">
        <v>4</v>
      </c>
      <c r="I280" s="1" t="s">
        <v>16</v>
      </c>
      <c r="J280" s="1" t="s">
        <v>17</v>
      </c>
      <c r="K280" s="1">
        <f>WEEKNUM(Table2[[#This Row],[Date]])</f>
        <v>15</v>
      </c>
      <c r="L280" s="1">
        <f>MONTH(Table2[[#This Row],[Date]])</f>
        <v>4</v>
      </c>
    </row>
    <row r="281" spans="1:12" ht="29.4" thickBot="1" x14ac:dyDescent="0.35">
      <c r="A281" s="1" t="s">
        <v>585</v>
      </c>
      <c r="B281" s="1" t="s">
        <v>305</v>
      </c>
      <c r="C281" s="3">
        <v>957623800</v>
      </c>
      <c r="D281" s="5">
        <v>6990000</v>
      </c>
      <c r="E281" s="4">
        <v>2</v>
      </c>
      <c r="F281" s="4">
        <f>Table2[[#This Row],[Số lượng ]]*Table2[[#This Row],[Giá bán]]</f>
        <v>13980000</v>
      </c>
      <c r="G281" s="2">
        <v>45637</v>
      </c>
      <c r="H281" s="1" t="s">
        <v>13</v>
      </c>
      <c r="I281" s="1" t="s">
        <v>5</v>
      </c>
      <c r="J281" s="1" t="s">
        <v>28</v>
      </c>
      <c r="K281" s="8">
        <f>WEEKNUM(Table2[[#This Row],[Date]])</f>
        <v>50</v>
      </c>
      <c r="L281" s="8">
        <f>MONTH(Table2[[#This Row],[Date]])</f>
        <v>12</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Sheet4</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nguyenthanhdat2172007@gmail.com</dc:creator>
  <cp:lastModifiedBy>admin</cp:lastModifiedBy>
  <dcterms:created xsi:type="dcterms:W3CDTF">2026-01-28T02:16:52Z</dcterms:created>
  <dcterms:modified xsi:type="dcterms:W3CDTF">2026-01-28T04:39:45Z</dcterms:modified>
</cp:coreProperties>
</file>